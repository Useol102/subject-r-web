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사용자" sheetId="2" state="visible" r:id="rId2"/>
    <sheet name="기능목록" sheetId="3" state="visible" r:id="rId3"/>
    <sheet name="요구사항" sheetId="4" state="visible" r:id="rId4"/>
    <sheet name="인터페이스" sheetId="5" state="visible" r:id="rId5"/>
    <sheet name="요약" sheetId="6" state="visible" r:id="rId6"/>
  </sheets>
  <definedNames>
    <definedName name="_xlnm._FilterDatabase" localSheetId="1" hidden="1">'사용자'!$A$1:$F$60</definedName>
    <definedName name="_xlnm._FilterDatabase" localSheetId="2" hidden="1">'기능목록'!$A$1:$G$60</definedName>
    <definedName name="_xlnm._FilterDatabase" localSheetId="3" hidden="1">'요구사항'!$A$1:$L$60</definedName>
    <definedName name="_xlnm._FilterDatabase" localSheetId="4" hidden="1">'인터페이스'!$A$1:$J$60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174D37"/>
      <sz val="15"/>
    </font>
    <font>
      <name val="맑은 고딕"/>
      <color rgb="0068766F"/>
      <sz val="10"/>
    </font>
    <font>
      <name val="맑은 고딕"/>
      <sz val="10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b val="1"/>
      <color rgb="00174D37"/>
      <sz val="13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EF3EA"/>
      </patternFill>
    </fill>
    <fill>
      <patternFill patternType="solid">
        <fgColor rgb="00286449"/>
      </patternFill>
    </fill>
  </fills>
  <borders count="2">
    <border>
      <left/>
      <right/>
      <top/>
      <bottom/>
      <diagonal/>
    </border>
    <border>
      <left style="thin">
        <color rgb="00C9D3C6"/>
      </left>
      <right style="thin">
        <color rgb="00C9D3C6"/>
      </right>
      <top style="thin">
        <color rgb="00C9D3C6"/>
      </top>
      <bottom style="thin">
        <color rgb="00C9D3C6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7" fillId="0" borderId="0" pivotButton="0" quotePrefix="0" xfId="0"/>
    <xf numFmtId="0" fontId="5" fillId="4" borderId="1" applyAlignment="1" pivotButton="0" quotePrefix="0" xfId="0">
      <alignment horizontal="center"/>
    </xf>
    <xf numFmtId="0" fontId="3" fillId="0" borderId="1" pivotButton="0" quotePrefix="0" xfId="0"/>
    <xf numFmtId="0" fontId="6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Claude Code</author>
  </authors>
  <commentList>
    <comment ref="I15" authorId="0" shapeId="0">
      <text>
        <t>팀원 의견: 기술 스택은 요구사항을 정한 뒤 결정. 이 줄은 계획서에 적힌 합의 사항이라 남겨 두었고, 회의에서 재검토할 수 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Subject R 웹 — 요구사항 정의서 (틀)</t>
        </is>
      </c>
    </row>
    <row r="2">
      <c r="A2" s="2" t="inlineStr">
        <is>
          <t>작성 2026-09-29 · 초안. 요구사항 → 시스템 구조 → 기술 스택 순으로 정하기 위한 표다.</t>
        </is>
      </c>
    </row>
    <row r="3">
      <c r="A3" s="3" t="inlineStr"/>
    </row>
    <row r="4">
      <c r="A4" s="4" t="inlineStr">
        <is>
          <t>시트 순서</t>
        </is>
      </c>
    </row>
    <row r="5">
      <c r="A5" s="3" t="inlineStr">
        <is>
          <t>1. 사용자 — 누가 쓰는가 (사람 + 연동되는 외부 시스템)</t>
        </is>
      </c>
    </row>
    <row r="6">
      <c r="A6" s="3" t="inlineStr">
        <is>
          <t>2. 기능목록 — 사용자별로 필요한 기능과 지금 구현 상태</t>
        </is>
      </c>
    </row>
    <row r="7">
      <c r="A7" s="3" t="inlineStr">
        <is>
          <t>3. 요구사항 — 기능별로 '무엇이 되어야 하는가'와 '어떻게 확인하는가'</t>
        </is>
      </c>
    </row>
    <row r="8">
      <c r="A8" s="3" t="inlineStr">
        <is>
          <t>4. 인터페이스 — 다른 팀·기관과 주고받을 것 (계약이 필요한 경계)</t>
        </is>
      </c>
    </row>
    <row r="9">
      <c r="A9" s="3" t="inlineStr">
        <is>
          <t>5. 요약 — 우선순위별 개수 (자동 계산)</t>
        </is>
      </c>
    </row>
    <row r="10">
      <c r="A10" s="3" t="inlineStr"/>
    </row>
    <row r="11">
      <c r="A11" s="4" t="inlineStr">
        <is>
          <t>칸 색깔</t>
        </is>
      </c>
    </row>
    <row r="12">
      <c r="A12" s="5" t="inlineStr">
        <is>
          <t>노란 칸 — 팀이 채울 칸 (우선순위, 담당, 결정 사항)</t>
        </is>
      </c>
    </row>
    <row r="13">
      <c r="A13" s="6" t="inlineStr">
        <is>
          <t>연녹색 칸 — 수식으로 자동으로 채워진다. 직접 고치지 않는다</t>
        </is>
      </c>
    </row>
    <row r="14">
      <c r="A14" s="3" t="inlineStr">
        <is>
          <t>흰 칸 — 초안이 채워져 있다. 틀리면 고친다</t>
        </is>
      </c>
    </row>
    <row r="15">
      <c r="A15" s="3" t="inlineStr"/>
    </row>
    <row r="16">
      <c r="A16" s="4" t="inlineStr">
        <is>
          <t>우선순위 기준 (MoSCoW)</t>
        </is>
      </c>
    </row>
    <row r="17">
      <c r="A17" s="3" t="inlineStr">
        <is>
          <t>필수 — 없으면 현장에서 쓸 수 없다 / 첫 운영 전에 반드시</t>
        </is>
      </c>
    </row>
    <row r="18">
      <c r="A18" s="3" t="inlineStr">
        <is>
          <t>중요 — 있어야 제대로 쓴다 / 첫 운영 직후</t>
        </is>
      </c>
    </row>
    <row r="19">
      <c r="A19" s="3" t="inlineStr">
        <is>
          <t>선택 — 있으면 좋다 / 여유가 있을 때</t>
        </is>
      </c>
    </row>
    <row r="20">
      <c r="A20" s="3" t="inlineStr">
        <is>
          <t>보류 — 이번 범위에서 뺀다 (이유를 비고에)</t>
        </is>
      </c>
    </row>
    <row r="21">
      <c r="A21" s="3" t="inlineStr"/>
    </row>
    <row r="22">
      <c r="A22" s="4" t="inlineStr">
        <is>
          <t>주의</t>
        </is>
      </c>
    </row>
    <row r="23">
      <c r="A23" s="3" t="inlineStr">
        <is>
          <t>· 우선순위는 비워 두었다. 팀 회의에서 정한다.</t>
        </is>
      </c>
    </row>
    <row r="24">
      <c r="A24" s="3" t="inlineStr">
        <is>
          <t>· '현재 상태'는 2026-09-29 main 브랜치 기준 사실이다. '출처'가 '현재 구현'인 요구사항은 이미 만든 것에서 거꾸로 적은 초안이라, 필요 없으면 지운다.</t>
        </is>
      </c>
    </row>
    <row r="25">
      <c r="A25" s="3" t="inlineStr">
        <is>
          <t>· 기관·시뮬레이션팀 규격은 아직 없다. 인터페이스 시트의 내용을 지어내지 말고 '필요한 결정/자료'에 질문으로 남긴다.</t>
        </is>
      </c>
    </row>
    <row r="26">
      <c r="A26" s="3" t="inlineStr">
        <is>
          <t>· 새 줄을 넣을 때 ID 는 R015, F22 처럼 이어서 붙인다. 요구사항의 기능명·사용자는 기능ID 만 넣으면 자동으로 채워진다.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34" customWidth="1" min="4" max="4"/>
    <col width="46" customWidth="1" min="5" max="5"/>
    <col width="40" customWidth="1" min="6" max="6"/>
  </cols>
  <sheetData>
    <row r="1" ht="30" customHeight="1">
      <c r="A1" s="7" t="inlineStr">
        <is>
          <t>사용자ID</t>
        </is>
      </c>
      <c r="B1" s="7" t="inlineStr">
        <is>
          <t>사용자</t>
        </is>
      </c>
      <c r="C1" s="7" t="inlineStr">
        <is>
          <t>구분</t>
        </is>
      </c>
      <c r="D1" s="7" t="inlineStr">
        <is>
          <t>설명</t>
        </is>
      </c>
      <c r="E1" s="7" t="inlineStr">
        <is>
          <t>하려는 일</t>
        </is>
      </c>
      <c r="F1" s="7" t="inlineStr">
        <is>
          <t>사용 환경</t>
        </is>
      </c>
    </row>
    <row r="2">
      <c r="A2" s="8" t="inlineStr">
        <is>
          <t>U1</t>
        </is>
      </c>
      <c r="B2" s="9" t="inlineStr">
        <is>
          <t>이용자 (어르신)</t>
        </is>
      </c>
      <c r="C2" s="9" t="inlineStr">
        <is>
          <t>사람</t>
        </is>
      </c>
      <c r="D2" s="9" t="inlineStr">
        <is>
          <t>복지관을 찾는 고령 이용자</t>
        </is>
      </c>
      <c r="E2" s="9" t="inlineStr">
        <is>
          <t>오늘 프로그램 확인, 장소 찾기, 출석</t>
        </is>
      </c>
      <c r="F2" s="9" t="inlineStr">
        <is>
          <t>로비 키오스크 (태블릿 가능성 높음). 터치, 큰 글씨</t>
        </is>
      </c>
    </row>
    <row r="3">
      <c r="A3" s="8" t="inlineStr">
        <is>
          <t>U2</t>
        </is>
      </c>
      <c r="B3" s="9" t="inlineStr">
        <is>
          <t>복지관 직원</t>
        </is>
      </c>
      <c r="C3" s="9" t="inlineStr">
        <is>
          <t>사람</t>
        </is>
      </c>
      <c r="D3" s="9" t="inlineStr">
        <is>
          <t>프로그램을 운영하는 직원</t>
        </is>
      </c>
      <c r="E3" s="9" t="inlineStr">
        <is>
          <t>프로그램·회차·장소 등록, 휴강 처리, 출결 확인, 로봇 호출</t>
        </is>
      </c>
      <c r="F3" s="9" t="inlineStr">
        <is>
          <t>키오스크 또는 사무실 PC의 직원 화면 (/admin, 비밀번호)</t>
        </is>
      </c>
    </row>
    <row r="4">
      <c r="A4" s="8" t="inlineStr">
        <is>
          <t>U3</t>
        </is>
      </c>
      <c r="B4" s="9" t="inlineStr">
        <is>
          <t>운영 담당</t>
        </is>
      </c>
      <c r="C4" s="9" t="inlineStr">
        <is>
          <t>사람</t>
        </is>
      </c>
      <c r="D4" s="9" t="inlineStr">
        <is>
          <t>키오스크 PC를 설치·관리하는 사람 (팀 또는 기관 전산)</t>
        </is>
      </c>
      <c r="E4" s="9" t="inlineStr">
        <is>
          <t>설치, 실행, 백업·복원, 비밀번호 관리</t>
        </is>
      </c>
      <c r="F4" s="9" t="inlineStr">
        <is>
          <t>키오스크 PC (윈도우)</t>
        </is>
      </c>
    </row>
    <row r="5">
      <c r="A5" s="8" t="inlineStr">
        <is>
          <t>S1</t>
        </is>
      </c>
      <c r="B5" s="9" t="inlineStr">
        <is>
          <t>로봇 · 시뮬레이션</t>
        </is>
      </c>
      <c r="C5" s="9" t="inlineStr">
        <is>
          <t>외부 시스템</t>
        </is>
      </c>
      <c r="D5" s="9" t="inlineStr">
        <is>
          <t>시뮬레이션팀이 만드는 로봇 이동 시스템</t>
        </is>
      </c>
      <c r="E5" s="9" t="inlineStr">
        <is>
          <t>이동 요청 받기, 위치·상태 알려주기</t>
        </is>
      </c>
      <c r="F5" s="9" t="inlineStr">
        <is>
          <t>규격 미정</t>
        </is>
      </c>
    </row>
    <row r="6">
      <c r="A6" s="8" t="inlineStr">
        <is>
          <t>S2</t>
        </is>
      </c>
      <c r="B6" s="9" t="inlineStr">
        <is>
          <t>기관 시스템</t>
        </is>
      </c>
      <c r="C6" s="9" t="inlineStr">
        <is>
          <t>외부 시스템</t>
        </is>
      </c>
      <c r="D6" s="9" t="inlineStr">
        <is>
          <t>월계종합사회복지관의 기존 시스템</t>
        </is>
      </c>
      <c r="E6" s="9" t="inlineStr">
        <is>
          <t>회원·출결·프로그램 원본 데이터</t>
        </is>
      </c>
      <c r="F6" s="9" t="inlineStr">
        <is>
          <t>규격 미정</t>
        </is>
      </c>
    </row>
    <row r="7">
      <c r="A7" s="9" t="n"/>
      <c r="B7" s="9" t="n"/>
      <c r="C7" s="9" t="n"/>
      <c r="D7" s="9" t="n"/>
      <c r="E7" s="9" t="n"/>
      <c r="F7" s="9" t="n"/>
    </row>
    <row r="8">
      <c r="A8" s="9" t="n"/>
      <c r="B8" s="9" t="n"/>
      <c r="C8" s="9" t="n"/>
      <c r="D8" s="9" t="n"/>
      <c r="E8" s="9" t="n"/>
      <c r="F8" s="9" t="n"/>
    </row>
    <row r="9">
      <c r="A9" s="9" t="n"/>
      <c r="B9" s="9" t="n"/>
      <c r="C9" s="9" t="n"/>
      <c r="D9" s="9" t="n"/>
      <c r="E9" s="9" t="n"/>
      <c r="F9" s="9" t="n"/>
    </row>
    <row r="10">
      <c r="A10" s="9" t="n"/>
      <c r="B10" s="9" t="n"/>
      <c r="C10" s="9" t="n"/>
      <c r="D10" s="9" t="n"/>
      <c r="E10" s="9" t="n"/>
      <c r="F10" s="9" t="n"/>
    </row>
    <row r="11">
      <c r="A11" s="9" t="n"/>
      <c r="B11" s="9" t="n"/>
      <c r="C11" s="9" t="n"/>
      <c r="D11" s="9" t="n"/>
      <c r="E11" s="9" t="n"/>
      <c r="F11" s="9" t="n"/>
    </row>
    <row r="12">
      <c r="A12" s="9" t="n"/>
      <c r="B12" s="9" t="n"/>
      <c r="C12" s="9" t="n"/>
      <c r="D12" s="9" t="n"/>
      <c r="E12" s="9" t="n"/>
      <c r="F12" s="9" t="n"/>
    </row>
    <row r="13">
      <c r="A13" s="9" t="n"/>
      <c r="B13" s="9" t="n"/>
      <c r="C13" s="9" t="n"/>
      <c r="D13" s="9" t="n"/>
      <c r="E13" s="9" t="n"/>
      <c r="F13" s="9" t="n"/>
    </row>
    <row r="14">
      <c r="A14" s="9" t="n"/>
      <c r="B14" s="9" t="n"/>
      <c r="C14" s="9" t="n"/>
      <c r="D14" s="9" t="n"/>
      <c r="E14" s="9" t="n"/>
      <c r="F14" s="9" t="n"/>
    </row>
    <row r="15">
      <c r="A15" s="9" t="n"/>
      <c r="B15" s="9" t="n"/>
      <c r="C15" s="9" t="n"/>
      <c r="D15" s="9" t="n"/>
      <c r="E15" s="9" t="n"/>
      <c r="F15" s="9" t="n"/>
    </row>
    <row r="16">
      <c r="A16" s="9" t="n"/>
      <c r="B16" s="9" t="n"/>
      <c r="C16" s="9" t="n"/>
      <c r="D16" s="9" t="n"/>
      <c r="E16" s="9" t="n"/>
      <c r="F16" s="9" t="n"/>
    </row>
    <row r="17">
      <c r="A17" s="9" t="n"/>
      <c r="B17" s="9" t="n"/>
      <c r="C17" s="9" t="n"/>
      <c r="D17" s="9" t="n"/>
      <c r="E17" s="9" t="n"/>
      <c r="F17" s="9" t="n"/>
    </row>
    <row r="18">
      <c r="A18" s="9" t="n"/>
      <c r="B18" s="9" t="n"/>
      <c r="C18" s="9" t="n"/>
      <c r="D18" s="9" t="n"/>
      <c r="E18" s="9" t="n"/>
      <c r="F18" s="9" t="n"/>
    </row>
    <row r="19">
      <c r="A19" s="9" t="n"/>
      <c r="B19" s="9" t="n"/>
      <c r="C19" s="9" t="n"/>
      <c r="D19" s="9" t="n"/>
      <c r="E19" s="9" t="n"/>
      <c r="F19" s="9" t="n"/>
    </row>
    <row r="20">
      <c r="A20" s="9" t="n"/>
      <c r="B20" s="9" t="n"/>
      <c r="C20" s="9" t="n"/>
      <c r="D20" s="9" t="n"/>
      <c r="E20" s="9" t="n"/>
      <c r="F20" s="9" t="n"/>
    </row>
    <row r="21">
      <c r="A21" s="9" t="n"/>
      <c r="B21" s="9" t="n"/>
      <c r="C21" s="9" t="n"/>
      <c r="D21" s="9" t="n"/>
      <c r="E21" s="9" t="n"/>
      <c r="F21" s="9" t="n"/>
    </row>
    <row r="22">
      <c r="A22" s="9" t="n"/>
      <c r="B22" s="9" t="n"/>
      <c r="C22" s="9" t="n"/>
      <c r="D22" s="9" t="n"/>
      <c r="E22" s="9" t="n"/>
      <c r="F22" s="9" t="n"/>
    </row>
    <row r="23">
      <c r="A23" s="9" t="n"/>
      <c r="B23" s="9" t="n"/>
      <c r="C23" s="9" t="n"/>
      <c r="D23" s="9" t="n"/>
      <c r="E23" s="9" t="n"/>
      <c r="F23" s="9" t="n"/>
    </row>
    <row r="24">
      <c r="A24" s="9" t="n"/>
      <c r="B24" s="9" t="n"/>
      <c r="C24" s="9" t="n"/>
      <c r="D24" s="9" t="n"/>
      <c r="E24" s="9" t="n"/>
      <c r="F24" s="9" t="n"/>
    </row>
    <row r="25">
      <c r="A25" s="9" t="n"/>
      <c r="B25" s="9" t="n"/>
      <c r="C25" s="9" t="n"/>
      <c r="D25" s="9" t="n"/>
      <c r="E25" s="9" t="n"/>
      <c r="F25" s="9" t="n"/>
    </row>
    <row r="26">
      <c r="A26" s="9" t="n"/>
      <c r="B26" s="9" t="n"/>
      <c r="C26" s="9" t="n"/>
      <c r="D26" s="9" t="n"/>
      <c r="E26" s="9" t="n"/>
      <c r="F26" s="9" t="n"/>
    </row>
    <row r="27">
      <c r="A27" s="9" t="n"/>
      <c r="B27" s="9" t="n"/>
      <c r="C27" s="9" t="n"/>
      <c r="D27" s="9" t="n"/>
      <c r="E27" s="9" t="n"/>
      <c r="F27" s="9" t="n"/>
    </row>
    <row r="28">
      <c r="A28" s="9" t="n"/>
      <c r="B28" s="9" t="n"/>
      <c r="C28" s="9" t="n"/>
      <c r="D28" s="9" t="n"/>
      <c r="E28" s="9" t="n"/>
      <c r="F28" s="9" t="n"/>
    </row>
    <row r="29">
      <c r="A29" s="9" t="n"/>
      <c r="B29" s="9" t="n"/>
      <c r="C29" s="9" t="n"/>
      <c r="D29" s="9" t="n"/>
      <c r="E29" s="9" t="n"/>
      <c r="F29" s="9" t="n"/>
    </row>
    <row r="30">
      <c r="A30" s="9" t="n"/>
      <c r="B30" s="9" t="n"/>
      <c r="C30" s="9" t="n"/>
      <c r="D30" s="9" t="n"/>
      <c r="E30" s="9" t="n"/>
      <c r="F30" s="9" t="n"/>
    </row>
    <row r="31">
      <c r="A31" s="9" t="n"/>
      <c r="B31" s="9" t="n"/>
      <c r="C31" s="9" t="n"/>
      <c r="D31" s="9" t="n"/>
      <c r="E31" s="9" t="n"/>
      <c r="F31" s="9" t="n"/>
    </row>
    <row r="32">
      <c r="A32" s="9" t="n"/>
      <c r="B32" s="9" t="n"/>
      <c r="C32" s="9" t="n"/>
      <c r="D32" s="9" t="n"/>
      <c r="E32" s="9" t="n"/>
      <c r="F32" s="9" t="n"/>
    </row>
    <row r="33">
      <c r="A33" s="9" t="n"/>
      <c r="B33" s="9" t="n"/>
      <c r="C33" s="9" t="n"/>
      <c r="D33" s="9" t="n"/>
      <c r="E33" s="9" t="n"/>
      <c r="F33" s="9" t="n"/>
    </row>
    <row r="34">
      <c r="A34" s="9" t="n"/>
      <c r="B34" s="9" t="n"/>
      <c r="C34" s="9" t="n"/>
      <c r="D34" s="9" t="n"/>
      <c r="E34" s="9" t="n"/>
      <c r="F34" s="9" t="n"/>
    </row>
    <row r="35">
      <c r="A35" s="9" t="n"/>
      <c r="B35" s="9" t="n"/>
      <c r="C35" s="9" t="n"/>
      <c r="D35" s="9" t="n"/>
      <c r="E35" s="9" t="n"/>
      <c r="F35" s="9" t="n"/>
    </row>
    <row r="36">
      <c r="A36" s="9" t="n"/>
      <c r="B36" s="9" t="n"/>
      <c r="C36" s="9" t="n"/>
      <c r="D36" s="9" t="n"/>
      <c r="E36" s="9" t="n"/>
      <c r="F36" s="9" t="n"/>
    </row>
    <row r="37">
      <c r="A37" s="9" t="n"/>
      <c r="B37" s="9" t="n"/>
      <c r="C37" s="9" t="n"/>
      <c r="D37" s="9" t="n"/>
      <c r="E37" s="9" t="n"/>
      <c r="F37" s="9" t="n"/>
    </row>
    <row r="38">
      <c r="A38" s="9" t="n"/>
      <c r="B38" s="9" t="n"/>
      <c r="C38" s="9" t="n"/>
      <c r="D38" s="9" t="n"/>
      <c r="E38" s="9" t="n"/>
      <c r="F38" s="9" t="n"/>
    </row>
    <row r="39">
      <c r="A39" s="9" t="n"/>
      <c r="B39" s="9" t="n"/>
      <c r="C39" s="9" t="n"/>
      <c r="D39" s="9" t="n"/>
      <c r="E39" s="9" t="n"/>
      <c r="F39" s="9" t="n"/>
    </row>
    <row r="40">
      <c r="A40" s="9" t="n"/>
      <c r="B40" s="9" t="n"/>
      <c r="C40" s="9" t="n"/>
      <c r="D40" s="9" t="n"/>
      <c r="E40" s="9" t="n"/>
      <c r="F40" s="9" t="n"/>
    </row>
    <row r="41">
      <c r="A41" s="9" t="n"/>
      <c r="B41" s="9" t="n"/>
      <c r="C41" s="9" t="n"/>
      <c r="D41" s="9" t="n"/>
      <c r="E41" s="9" t="n"/>
      <c r="F41" s="9" t="n"/>
    </row>
    <row r="42">
      <c r="A42" s="9" t="n"/>
      <c r="B42" s="9" t="n"/>
      <c r="C42" s="9" t="n"/>
      <c r="D42" s="9" t="n"/>
      <c r="E42" s="9" t="n"/>
      <c r="F42" s="9" t="n"/>
    </row>
    <row r="43">
      <c r="A43" s="9" t="n"/>
      <c r="B43" s="9" t="n"/>
      <c r="C43" s="9" t="n"/>
      <c r="D43" s="9" t="n"/>
      <c r="E43" s="9" t="n"/>
      <c r="F43" s="9" t="n"/>
    </row>
    <row r="44">
      <c r="A44" s="9" t="n"/>
      <c r="B44" s="9" t="n"/>
      <c r="C44" s="9" t="n"/>
      <c r="D44" s="9" t="n"/>
      <c r="E44" s="9" t="n"/>
      <c r="F44" s="9" t="n"/>
    </row>
    <row r="45">
      <c r="A45" s="9" t="n"/>
      <c r="B45" s="9" t="n"/>
      <c r="C45" s="9" t="n"/>
      <c r="D45" s="9" t="n"/>
      <c r="E45" s="9" t="n"/>
      <c r="F45" s="9" t="n"/>
    </row>
    <row r="46">
      <c r="A46" s="9" t="n"/>
      <c r="B46" s="9" t="n"/>
      <c r="C46" s="9" t="n"/>
      <c r="D46" s="9" t="n"/>
      <c r="E46" s="9" t="n"/>
      <c r="F46" s="9" t="n"/>
    </row>
    <row r="47">
      <c r="A47" s="9" t="n"/>
      <c r="B47" s="9" t="n"/>
      <c r="C47" s="9" t="n"/>
      <c r="D47" s="9" t="n"/>
      <c r="E47" s="9" t="n"/>
      <c r="F47" s="9" t="n"/>
    </row>
    <row r="48">
      <c r="A48" s="9" t="n"/>
      <c r="B48" s="9" t="n"/>
      <c r="C48" s="9" t="n"/>
      <c r="D48" s="9" t="n"/>
      <c r="E48" s="9" t="n"/>
      <c r="F48" s="9" t="n"/>
    </row>
    <row r="49">
      <c r="A49" s="9" t="n"/>
      <c r="B49" s="9" t="n"/>
      <c r="C49" s="9" t="n"/>
      <c r="D49" s="9" t="n"/>
      <c r="E49" s="9" t="n"/>
      <c r="F49" s="9" t="n"/>
    </row>
    <row r="50">
      <c r="A50" s="9" t="n"/>
      <c r="B50" s="9" t="n"/>
      <c r="C50" s="9" t="n"/>
      <c r="D50" s="9" t="n"/>
      <c r="E50" s="9" t="n"/>
      <c r="F50" s="9" t="n"/>
    </row>
    <row r="51">
      <c r="A51" s="9" t="n"/>
      <c r="B51" s="9" t="n"/>
      <c r="C51" s="9" t="n"/>
      <c r="D51" s="9" t="n"/>
      <c r="E51" s="9" t="n"/>
      <c r="F51" s="9" t="n"/>
    </row>
    <row r="52">
      <c r="A52" s="9" t="n"/>
      <c r="B52" s="9" t="n"/>
      <c r="C52" s="9" t="n"/>
      <c r="D52" s="9" t="n"/>
      <c r="E52" s="9" t="n"/>
      <c r="F52" s="9" t="n"/>
    </row>
    <row r="53">
      <c r="A53" s="9" t="n"/>
      <c r="B53" s="9" t="n"/>
      <c r="C53" s="9" t="n"/>
      <c r="D53" s="9" t="n"/>
      <c r="E53" s="9" t="n"/>
      <c r="F53" s="9" t="n"/>
    </row>
    <row r="54">
      <c r="A54" s="9" t="n"/>
      <c r="B54" s="9" t="n"/>
      <c r="C54" s="9" t="n"/>
      <c r="D54" s="9" t="n"/>
      <c r="E54" s="9" t="n"/>
      <c r="F54" s="9" t="n"/>
    </row>
    <row r="55">
      <c r="A55" s="9" t="n"/>
      <c r="B55" s="9" t="n"/>
      <c r="C55" s="9" t="n"/>
      <c r="D55" s="9" t="n"/>
      <c r="E55" s="9" t="n"/>
      <c r="F55" s="9" t="n"/>
    </row>
    <row r="56">
      <c r="A56" s="9" t="n"/>
      <c r="B56" s="9" t="n"/>
      <c r="C56" s="9" t="n"/>
      <c r="D56" s="9" t="n"/>
      <c r="E56" s="9" t="n"/>
      <c r="F56" s="9" t="n"/>
    </row>
    <row r="57">
      <c r="A57" s="9" t="n"/>
      <c r="B57" s="9" t="n"/>
      <c r="C57" s="9" t="n"/>
      <c r="D57" s="9" t="n"/>
      <c r="E57" s="9" t="n"/>
      <c r="F57" s="9" t="n"/>
    </row>
    <row r="58">
      <c r="A58" s="9" t="n"/>
      <c r="B58" s="9" t="n"/>
      <c r="C58" s="9" t="n"/>
      <c r="D58" s="9" t="n"/>
      <c r="E58" s="9" t="n"/>
      <c r="F58" s="9" t="n"/>
    </row>
    <row r="59">
      <c r="A59" s="9" t="n"/>
      <c r="B59" s="9" t="n"/>
      <c r="C59" s="9" t="n"/>
      <c r="D59" s="9" t="n"/>
      <c r="E59" s="9" t="n"/>
      <c r="F59" s="9" t="n"/>
    </row>
    <row r="60">
      <c r="A60" s="9" t="n"/>
      <c r="B60" s="9" t="n"/>
      <c r="C60" s="9" t="n"/>
      <c r="D60" s="9" t="n"/>
      <c r="E60" s="9" t="n"/>
      <c r="F60" s="9" t="n"/>
    </row>
  </sheetData>
  <autoFilter ref="A1:F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22" customWidth="1" min="3" max="3"/>
    <col width="44" customWidth="1" min="4" max="4"/>
    <col width="11" customWidth="1" min="5" max="5"/>
    <col width="12" customWidth="1" min="6" max="6"/>
    <col width="46" customWidth="1" min="7" max="7"/>
  </cols>
  <sheetData>
    <row r="1" ht="30" customHeight="1">
      <c r="A1" s="7" t="inlineStr">
        <is>
          <t>기능ID</t>
        </is>
      </c>
      <c r="B1" s="7" t="inlineStr">
        <is>
          <t>사용자ID</t>
        </is>
      </c>
      <c r="C1" s="7" t="inlineStr">
        <is>
          <t>기능명</t>
        </is>
      </c>
      <c r="D1" s="7" t="inlineStr">
        <is>
          <t>설명</t>
        </is>
      </c>
      <c r="E1" s="7" t="inlineStr">
        <is>
          <t>우선순위</t>
        </is>
      </c>
      <c r="F1" s="7" t="inlineStr">
        <is>
          <t>현재 상태</t>
        </is>
      </c>
      <c r="G1" s="7" t="inlineStr">
        <is>
          <t>비고</t>
        </is>
      </c>
    </row>
    <row r="2">
      <c r="A2" s="9" t="inlineStr">
        <is>
          <t>F01</t>
        </is>
      </c>
      <c r="B2" s="9" t="inlineStr">
        <is>
          <t>U1</t>
        </is>
      </c>
      <c r="C2" s="9" t="inlineStr">
        <is>
          <t>오늘의 프로그램 보기</t>
        </is>
      </c>
      <c r="D2" s="9" t="inlineStr">
        <is>
          <t>홈에서 오늘 열리는 회차를 시간순으로 본다</t>
        </is>
      </c>
      <c r="E2" s="10" t="inlineStr"/>
      <c r="F2" s="9" t="inlineStr">
        <is>
          <t>구현됨</t>
        </is>
      </c>
      <c r="G2" s="9" t="inlineStr">
        <is>
          <t>예시 데이터로 동작</t>
        </is>
      </c>
    </row>
    <row r="3">
      <c r="A3" s="9" t="inlineStr">
        <is>
          <t>F02</t>
        </is>
      </c>
      <c r="B3" s="9" t="inlineStr">
        <is>
          <t>U1</t>
        </is>
      </c>
      <c r="C3" s="9" t="inlineStr">
        <is>
          <t>프로그램 목록·상세</t>
        </is>
      </c>
      <c r="D3" s="9" t="inlineStr">
        <is>
          <t>분류(건강·문화·디지털·행사)로 거르고 시간·장소를 본다</t>
        </is>
      </c>
      <c r="E3" s="10" t="inlineStr"/>
      <c r="F3" s="9" t="inlineStr">
        <is>
          <t>구현됨</t>
        </is>
      </c>
      <c r="G3" s="9" t="inlineStr"/>
    </row>
    <row r="4">
      <c r="A4" s="9" t="inlineStr">
        <is>
          <t>F03</t>
        </is>
      </c>
      <c r="B4" s="9" t="inlineStr">
        <is>
          <t>U1</t>
        </is>
      </c>
      <c r="C4" s="9" t="inlineStr">
        <is>
          <t>장소 찾기</t>
        </is>
      </c>
      <c r="D4" s="9" t="inlineStr">
        <is>
          <t>이름·초성으로 장소를 찾는다</t>
        </is>
      </c>
      <c r="E4" s="10" t="inlineStr"/>
      <c r="F4" s="9" t="inlineStr">
        <is>
          <t>구현됨</t>
        </is>
      </c>
      <c r="G4" s="9" t="inlineStr">
        <is>
          <t>초성·띄어쓰기 무시</t>
        </is>
      </c>
    </row>
    <row r="5">
      <c r="A5" s="9" t="inlineStr">
        <is>
          <t>F04</t>
        </is>
      </c>
      <c r="B5" s="9" t="inlineStr">
        <is>
          <t>U1</t>
        </is>
      </c>
      <c r="C5" s="9" t="inlineStr">
        <is>
          <t>길 안내</t>
        </is>
      </c>
      <c r="D5" s="9" t="inlineStr">
        <is>
          <t>찾은 장소까지 가는 길을 안내받는다</t>
        </is>
      </c>
      <c r="E5" s="10" t="inlineStr"/>
      <c r="F5" s="9" t="inlineStr">
        <is>
          <t>외부 대기</t>
        </is>
      </c>
      <c r="G5" s="9" t="inlineStr">
        <is>
          <t>지금은 글 안내만. 실내 지도·경로 대기 (시뮬레이션팀)</t>
        </is>
      </c>
    </row>
    <row r="6">
      <c r="A6" s="9" t="inlineStr">
        <is>
          <t>F05</t>
        </is>
      </c>
      <c r="B6" s="9" t="inlineStr">
        <is>
          <t>U1</t>
        </is>
      </c>
      <c r="C6" s="9" t="inlineStr">
        <is>
          <t>바코드 출석</t>
        </is>
      </c>
      <c r="D6" s="9" t="inlineStr">
        <is>
          <t>회원 카드 바코드·QR 로 출석한다</t>
        </is>
      </c>
      <c r="E6" s="10" t="inlineStr"/>
      <c r="F6" s="9" t="inlineStr">
        <is>
          <t>부분 구현</t>
        </is>
      </c>
      <c r="G6" s="9" t="inlineStr">
        <is>
          <t>데모(TEST-001)만. 기관 출결 연동 대기</t>
        </is>
      </c>
    </row>
    <row r="7">
      <c r="A7" s="9" t="inlineStr">
        <is>
          <t>F06</t>
        </is>
      </c>
      <c r="B7" s="9" t="inlineStr">
        <is>
          <t>U1</t>
        </is>
      </c>
      <c r="C7" s="9" t="inlineStr">
        <is>
          <t>안내문 인쇄</t>
        </is>
      </c>
      <c r="D7" s="9" t="inlineStr">
        <is>
          <t>프로그램·장소 안내를 영수증 프린터로 뽑는다</t>
        </is>
      </c>
      <c r="E7" s="10" t="inlineStr"/>
      <c r="F7" s="9" t="inlineStr">
        <is>
          <t>부분 구현</t>
        </is>
      </c>
      <c r="G7" s="9" t="inlineStr">
        <is>
          <t>브라우저 인쇄 80/58mm. 프린터 기종 대기</t>
        </is>
      </c>
    </row>
    <row r="8">
      <c r="A8" s="9" t="inlineStr">
        <is>
          <t>F07</t>
        </is>
      </c>
      <c r="B8" s="9" t="inlineStr">
        <is>
          <t>U1</t>
        </is>
      </c>
      <c r="C8" s="9" t="inlineStr">
        <is>
          <t>직원 호출</t>
        </is>
      </c>
      <c r="D8" s="9" t="inlineStr">
        <is>
          <t>도움이 필요할 때 직원을 부른다</t>
        </is>
      </c>
      <c r="E8" s="10" t="inlineStr"/>
      <c r="F8" s="9" t="inlineStr">
        <is>
          <t>부분 구현</t>
        </is>
      </c>
      <c r="G8" s="9" t="inlineStr">
        <is>
          <t>안내 창만 있음. 호출을 어디로 보낼지 미정</t>
        </is>
      </c>
    </row>
    <row r="9">
      <c r="A9" s="9" t="inlineStr">
        <is>
          <t>F08</t>
        </is>
      </c>
      <c r="B9" s="9" t="inlineStr">
        <is>
          <t>U1</t>
        </is>
      </c>
      <c r="C9" s="9" t="inlineStr">
        <is>
          <t>큰 글씨 모드</t>
        </is>
      </c>
      <c r="D9" s="9" t="inlineStr">
        <is>
          <t>글씨를 한 단계 키운다</t>
        </is>
      </c>
      <c r="E9" s="10" t="inlineStr"/>
      <c r="F9" s="9" t="inlineStr">
        <is>
          <t>구현됨</t>
        </is>
      </c>
      <c r="G9" s="9" t="inlineStr"/>
    </row>
    <row r="10">
      <c r="A10" s="9" t="inlineStr">
        <is>
          <t>F09</t>
        </is>
      </c>
      <c r="B10" s="9" t="inlineStr">
        <is>
          <t>U2</t>
        </is>
      </c>
      <c r="C10" s="9" t="inlineStr">
        <is>
          <t>직원 화면 잠금</t>
        </is>
      </c>
      <c r="D10" s="9" t="inlineStr">
        <is>
          <t>비밀번호로 직원 화면을 보호한다</t>
        </is>
      </c>
      <c r="E10" s="10" t="inlineStr"/>
      <c r="F10" s="9" t="inlineStr">
        <is>
          <t>구현됨</t>
        </is>
      </c>
      <c r="G10" s="9" t="inlineStr">
        <is>
          <t>공용 비밀번호 1개. 5회 실패 시 30초 잠금</t>
        </is>
      </c>
    </row>
    <row r="11">
      <c r="A11" s="9" t="inlineStr">
        <is>
          <t>F10</t>
        </is>
      </c>
      <c r="B11" s="9" t="inlineStr">
        <is>
          <t>U2</t>
        </is>
      </c>
      <c r="C11" s="9" t="inlineStr">
        <is>
          <t>프로그램 관리</t>
        </is>
      </c>
      <c r="D11" s="9" t="inlineStr">
        <is>
          <t>프로그램을 등록·수정·숨긴다</t>
        </is>
      </c>
      <c r="E11" s="10" t="inlineStr"/>
      <c r="F11" s="9" t="inlineStr">
        <is>
          <t>구현됨</t>
        </is>
      </c>
      <c r="G11" s="9" t="inlineStr">
        <is>
          <t>물리 삭제 없음</t>
        </is>
      </c>
    </row>
    <row r="12">
      <c r="A12" s="9" t="inlineStr">
        <is>
          <t>F11</t>
        </is>
      </c>
      <c r="B12" s="9" t="inlineStr">
        <is>
          <t>U2</t>
        </is>
      </c>
      <c r="C12" s="9" t="inlineStr">
        <is>
          <t>회차 관리</t>
        </is>
      </c>
      <c r="D12" s="9" t="inlineStr">
        <is>
          <t>매주·격주 반복 회차를 만들고 휴강 처리한다</t>
        </is>
      </c>
      <c r="E12" s="10" t="inlineStr"/>
      <c r="F12" s="9" t="inlineStr">
        <is>
          <t>구현됨</t>
        </is>
      </c>
      <c r="G12" s="9" t="inlineStr"/>
    </row>
    <row r="13">
      <c r="A13" s="9" t="inlineStr">
        <is>
          <t>F12</t>
        </is>
      </c>
      <c r="B13" s="9" t="inlineStr">
        <is>
          <t>U2</t>
        </is>
      </c>
      <c r="C13" s="9" t="inlineStr">
        <is>
          <t>장소 관리</t>
        </is>
      </c>
      <c r="D13" s="9" t="inlineStr">
        <is>
          <t>장소·층·안내 문구를 등록·수정·숨긴다</t>
        </is>
      </c>
      <c r="E13" s="10" t="inlineStr"/>
      <c r="F13" s="9" t="inlineStr">
        <is>
          <t>구현됨</t>
        </is>
      </c>
      <c r="G13" s="9" t="inlineStr"/>
    </row>
    <row r="14">
      <c r="A14" s="9" t="inlineStr">
        <is>
          <t>F13</t>
        </is>
      </c>
      <c r="B14" s="9" t="inlineStr">
        <is>
          <t>U2</t>
        </is>
      </c>
      <c r="C14" s="9" t="inlineStr">
        <is>
          <t>데이터 가져오기·내보내기</t>
        </is>
      </c>
      <c r="D14" s="9" t="inlineStr">
        <is>
          <t>장소·프로그램을 JSON 파일로 주고받는다</t>
        </is>
      </c>
      <c r="E14" s="10" t="inlineStr"/>
      <c r="F14" s="9" t="inlineStr">
        <is>
          <t>구현됨</t>
        </is>
      </c>
      <c r="G14" s="9" t="inlineStr">
        <is>
          <t>양식 version 2</t>
        </is>
      </c>
    </row>
    <row r="15">
      <c r="A15" s="9" t="inlineStr">
        <is>
          <t>F14</t>
        </is>
      </c>
      <c r="B15" s="9" t="inlineStr">
        <is>
          <t>U2</t>
        </is>
      </c>
      <c r="C15" s="9" t="inlineStr">
        <is>
          <t>로봇 이동 요청</t>
        </is>
      </c>
      <c r="D15" s="9" t="inlineStr">
        <is>
          <t>로봇을 특정 장소로 보낸다</t>
        </is>
      </c>
      <c r="E15" s="10" t="inlineStr"/>
      <c r="F15" s="9" t="inlineStr">
        <is>
          <t>부분 구현</t>
        </is>
      </c>
      <c r="G15" s="9" t="inlineStr">
        <is>
          <t>데모 재현만. 로봇 API 대기</t>
        </is>
      </c>
    </row>
    <row r="16">
      <c r="A16" s="9" t="inlineStr">
        <is>
          <t>F15</t>
        </is>
      </c>
      <c r="B16" s="9" t="inlineStr">
        <is>
          <t>U2</t>
        </is>
      </c>
      <c r="C16" s="9" t="inlineStr">
        <is>
          <t>예약 이동</t>
        </is>
      </c>
      <c r="D16" s="9" t="inlineStr">
        <is>
          <t>프로그램 시작 전 로봇이 강의실 앞으로 간다</t>
        </is>
      </c>
      <c r="E16" s="10" t="inlineStr"/>
      <c r="F16" s="9" t="inlineStr">
        <is>
          <t>외부 대기</t>
        </is>
      </c>
      <c r="G16" s="9" t="inlineStr">
        <is>
          <t>계획서 5번. 로봇 API 대기</t>
        </is>
      </c>
    </row>
    <row r="17">
      <c r="A17" s="9" t="inlineStr">
        <is>
          <t>F16</t>
        </is>
      </c>
      <c r="B17" s="9" t="inlineStr">
        <is>
          <t>U2</t>
        </is>
      </c>
      <c r="C17" s="9" t="inlineStr">
        <is>
          <t>출결 현황 보기</t>
        </is>
      </c>
      <c r="D17" s="9" t="inlineStr">
        <is>
          <t>회차별 출석자를 확인한다</t>
        </is>
      </c>
      <c r="E17" s="10" t="inlineStr"/>
      <c r="F17" s="9" t="inlineStr">
        <is>
          <t>미구현</t>
        </is>
      </c>
      <c r="G17" s="9" t="inlineStr">
        <is>
          <t>출석 기록은 저장되지만 조회 화면 없음</t>
        </is>
      </c>
    </row>
    <row r="18">
      <c r="A18" s="9" t="inlineStr">
        <is>
          <t>F17</t>
        </is>
      </c>
      <c r="B18" s="9" t="inlineStr">
        <is>
          <t>U3</t>
        </is>
      </c>
      <c r="C18" s="9" t="inlineStr">
        <is>
          <t>설치·실행</t>
        </is>
      </c>
      <c r="D18" s="9" t="inlineStr">
        <is>
          <t>새 PC에 설치하고 명령 한 줄로 실행한다</t>
        </is>
      </c>
      <c r="E18" s="10" t="inlineStr"/>
      <c r="F18" s="9" t="inlineStr">
        <is>
          <t>구현됨</t>
        </is>
      </c>
      <c r="G18" s="9" t="inlineStr">
        <is>
          <t>start-web.ps1</t>
        </is>
      </c>
    </row>
    <row r="19">
      <c r="A19" s="9" t="inlineStr">
        <is>
          <t>F18</t>
        </is>
      </c>
      <c r="B19" s="9" t="inlineStr">
        <is>
          <t>U3</t>
        </is>
      </c>
      <c r="C19" s="9" t="inlineStr">
        <is>
          <t>백업·복원</t>
        </is>
      </c>
      <c r="D19" s="9" t="inlineStr">
        <is>
          <t>DB 사본을 만들고 되돌린다</t>
        </is>
      </c>
      <c r="E19" s="10" t="inlineStr"/>
      <c r="F19" s="9" t="inlineStr">
        <is>
          <t>부분 구현</t>
        </is>
      </c>
      <c r="G19" s="9" t="inlineStr">
        <is>
          <t>스크립트 완성, PR #6 머지 대기. 자동 실행 없음</t>
        </is>
      </c>
    </row>
    <row r="20">
      <c r="A20" s="9" t="inlineStr">
        <is>
          <t>F19</t>
        </is>
      </c>
      <c r="B20" s="9" t="inlineStr">
        <is>
          <t>U3</t>
        </is>
      </c>
      <c r="C20" s="9" t="inlineStr">
        <is>
          <t>자동 시작</t>
        </is>
      </c>
      <c r="D20" s="9" t="inlineStr">
        <is>
          <t>PC를 켜면 키오스크 화면이 전체화면으로 뜬다</t>
        </is>
      </c>
      <c r="E20" s="10" t="inlineStr"/>
      <c r="F20" s="9" t="inlineStr">
        <is>
          <t>미구현</t>
        </is>
      </c>
      <c r="G20" s="9" t="inlineStr">
        <is>
          <t>계획됨</t>
        </is>
      </c>
    </row>
    <row r="21">
      <c r="A21" s="9" t="inlineStr">
        <is>
          <t>F20</t>
        </is>
      </c>
      <c r="B21" s="9" t="inlineStr">
        <is>
          <t>S1</t>
        </is>
      </c>
      <c r="C21" s="9" t="inlineStr">
        <is>
          <t>로봇 상태 받기</t>
        </is>
      </c>
      <c r="D21" s="9" t="inlineStr">
        <is>
          <t>로봇의 위치·이동 상태를 받아 화면에 보인다</t>
        </is>
      </c>
      <c r="E21" s="10" t="inlineStr"/>
      <c r="F21" s="9" t="inlineStr">
        <is>
          <t>외부 대기</t>
        </is>
      </c>
      <c r="G21" s="9" t="inlineStr">
        <is>
          <t>로봇 API 대기</t>
        </is>
      </c>
    </row>
    <row r="22">
      <c r="A22" s="9" t="inlineStr">
        <is>
          <t>F21</t>
        </is>
      </c>
      <c r="B22" s="9" t="inlineStr">
        <is>
          <t>S2</t>
        </is>
      </c>
      <c r="C22" s="9" t="inlineStr">
        <is>
          <t>기관 출결 연동</t>
        </is>
      </c>
      <c r="D22" s="9" t="inlineStr">
        <is>
          <t>출석을 기관 시스템에 기록한다</t>
        </is>
      </c>
      <c r="E22" s="10" t="inlineStr"/>
      <c r="F22" s="9" t="inlineStr">
        <is>
          <t>외부 대기</t>
        </is>
      </c>
      <c r="G22" s="9" t="inlineStr">
        <is>
          <t>출결 API 대기</t>
        </is>
      </c>
    </row>
    <row r="23">
      <c r="A23" s="9" t="n"/>
      <c r="B23" s="9" t="n"/>
      <c r="C23" s="9" t="n"/>
      <c r="D23" s="9" t="n"/>
      <c r="E23" s="10" t="n"/>
      <c r="F23" s="9" t="n"/>
      <c r="G23" s="9" t="n"/>
    </row>
    <row r="24">
      <c r="A24" s="9" t="n"/>
      <c r="B24" s="9" t="n"/>
      <c r="C24" s="9" t="n"/>
      <c r="D24" s="9" t="n"/>
      <c r="E24" s="10" t="n"/>
      <c r="F24" s="9" t="n"/>
      <c r="G24" s="9" t="n"/>
    </row>
    <row r="25">
      <c r="A25" s="9" t="n"/>
      <c r="B25" s="9" t="n"/>
      <c r="C25" s="9" t="n"/>
      <c r="D25" s="9" t="n"/>
      <c r="E25" s="10" t="n"/>
      <c r="F25" s="9" t="n"/>
      <c r="G25" s="9" t="n"/>
    </row>
    <row r="26">
      <c r="A26" s="9" t="n"/>
      <c r="B26" s="9" t="n"/>
      <c r="C26" s="9" t="n"/>
      <c r="D26" s="9" t="n"/>
      <c r="E26" s="10" t="n"/>
      <c r="F26" s="9" t="n"/>
      <c r="G26" s="9" t="n"/>
    </row>
    <row r="27">
      <c r="A27" s="9" t="n"/>
      <c r="B27" s="9" t="n"/>
      <c r="C27" s="9" t="n"/>
      <c r="D27" s="9" t="n"/>
      <c r="E27" s="10" t="n"/>
      <c r="F27" s="9" t="n"/>
      <c r="G27" s="9" t="n"/>
    </row>
    <row r="28">
      <c r="A28" s="9" t="n"/>
      <c r="B28" s="9" t="n"/>
      <c r="C28" s="9" t="n"/>
      <c r="D28" s="9" t="n"/>
      <c r="E28" s="10" t="n"/>
      <c r="F28" s="9" t="n"/>
      <c r="G28" s="9" t="n"/>
    </row>
    <row r="29">
      <c r="A29" s="9" t="n"/>
      <c r="B29" s="9" t="n"/>
      <c r="C29" s="9" t="n"/>
      <c r="D29" s="9" t="n"/>
      <c r="E29" s="10" t="n"/>
      <c r="F29" s="9" t="n"/>
      <c r="G29" s="9" t="n"/>
    </row>
    <row r="30">
      <c r="A30" s="9" t="n"/>
      <c r="B30" s="9" t="n"/>
      <c r="C30" s="9" t="n"/>
      <c r="D30" s="9" t="n"/>
      <c r="E30" s="10" t="n"/>
      <c r="F30" s="9" t="n"/>
      <c r="G30" s="9" t="n"/>
    </row>
    <row r="31">
      <c r="A31" s="9" t="n"/>
      <c r="B31" s="9" t="n"/>
      <c r="C31" s="9" t="n"/>
      <c r="D31" s="9" t="n"/>
      <c r="E31" s="10" t="n"/>
      <c r="F31" s="9" t="n"/>
      <c r="G31" s="9" t="n"/>
    </row>
    <row r="32">
      <c r="A32" s="9" t="n"/>
      <c r="B32" s="9" t="n"/>
      <c r="C32" s="9" t="n"/>
      <c r="D32" s="9" t="n"/>
      <c r="E32" s="10" t="n"/>
      <c r="F32" s="9" t="n"/>
      <c r="G32" s="9" t="n"/>
    </row>
    <row r="33">
      <c r="A33" s="9" t="n"/>
      <c r="B33" s="9" t="n"/>
      <c r="C33" s="9" t="n"/>
      <c r="D33" s="9" t="n"/>
      <c r="E33" s="10" t="n"/>
      <c r="F33" s="9" t="n"/>
      <c r="G33" s="9" t="n"/>
    </row>
    <row r="34">
      <c r="A34" s="9" t="n"/>
      <c r="B34" s="9" t="n"/>
      <c r="C34" s="9" t="n"/>
      <c r="D34" s="9" t="n"/>
      <c r="E34" s="10" t="n"/>
      <c r="F34" s="9" t="n"/>
      <c r="G34" s="9" t="n"/>
    </row>
    <row r="35">
      <c r="A35" s="9" t="n"/>
      <c r="B35" s="9" t="n"/>
      <c r="C35" s="9" t="n"/>
      <c r="D35" s="9" t="n"/>
      <c r="E35" s="10" t="n"/>
      <c r="F35" s="9" t="n"/>
      <c r="G35" s="9" t="n"/>
    </row>
    <row r="36">
      <c r="A36" s="9" t="n"/>
      <c r="B36" s="9" t="n"/>
      <c r="C36" s="9" t="n"/>
      <c r="D36" s="9" t="n"/>
      <c r="E36" s="10" t="n"/>
      <c r="F36" s="9" t="n"/>
      <c r="G36" s="9" t="n"/>
    </row>
    <row r="37">
      <c r="A37" s="9" t="n"/>
      <c r="B37" s="9" t="n"/>
      <c r="C37" s="9" t="n"/>
      <c r="D37" s="9" t="n"/>
      <c r="E37" s="10" t="n"/>
      <c r="F37" s="9" t="n"/>
      <c r="G37" s="9" t="n"/>
    </row>
    <row r="38">
      <c r="A38" s="9" t="n"/>
      <c r="B38" s="9" t="n"/>
      <c r="C38" s="9" t="n"/>
      <c r="D38" s="9" t="n"/>
      <c r="E38" s="10" t="n"/>
      <c r="F38" s="9" t="n"/>
      <c r="G38" s="9" t="n"/>
    </row>
    <row r="39">
      <c r="A39" s="9" t="n"/>
      <c r="B39" s="9" t="n"/>
      <c r="C39" s="9" t="n"/>
      <c r="D39" s="9" t="n"/>
      <c r="E39" s="10" t="n"/>
      <c r="F39" s="9" t="n"/>
      <c r="G39" s="9" t="n"/>
    </row>
    <row r="40">
      <c r="A40" s="9" t="n"/>
      <c r="B40" s="9" t="n"/>
      <c r="C40" s="9" t="n"/>
      <c r="D40" s="9" t="n"/>
      <c r="E40" s="10" t="n"/>
      <c r="F40" s="9" t="n"/>
      <c r="G40" s="9" t="n"/>
    </row>
    <row r="41">
      <c r="A41" s="9" t="n"/>
      <c r="B41" s="9" t="n"/>
      <c r="C41" s="9" t="n"/>
      <c r="D41" s="9" t="n"/>
      <c r="E41" s="10" t="n"/>
      <c r="F41" s="9" t="n"/>
      <c r="G41" s="9" t="n"/>
    </row>
    <row r="42">
      <c r="A42" s="9" t="n"/>
      <c r="B42" s="9" t="n"/>
      <c r="C42" s="9" t="n"/>
      <c r="D42" s="9" t="n"/>
      <c r="E42" s="10" t="n"/>
      <c r="F42" s="9" t="n"/>
      <c r="G42" s="9" t="n"/>
    </row>
    <row r="43">
      <c r="A43" s="9" t="n"/>
      <c r="B43" s="9" t="n"/>
      <c r="C43" s="9" t="n"/>
      <c r="D43" s="9" t="n"/>
      <c r="E43" s="10" t="n"/>
      <c r="F43" s="9" t="n"/>
      <c r="G43" s="9" t="n"/>
    </row>
    <row r="44">
      <c r="A44" s="9" t="n"/>
      <c r="B44" s="9" t="n"/>
      <c r="C44" s="9" t="n"/>
      <c r="D44" s="9" t="n"/>
      <c r="E44" s="10" t="n"/>
      <c r="F44" s="9" t="n"/>
      <c r="G44" s="9" t="n"/>
    </row>
    <row r="45">
      <c r="A45" s="9" t="n"/>
      <c r="B45" s="9" t="n"/>
      <c r="C45" s="9" t="n"/>
      <c r="D45" s="9" t="n"/>
      <c r="E45" s="10" t="n"/>
      <c r="F45" s="9" t="n"/>
      <c r="G45" s="9" t="n"/>
    </row>
    <row r="46">
      <c r="A46" s="9" t="n"/>
      <c r="B46" s="9" t="n"/>
      <c r="C46" s="9" t="n"/>
      <c r="D46" s="9" t="n"/>
      <c r="E46" s="10" t="n"/>
      <c r="F46" s="9" t="n"/>
      <c r="G46" s="9" t="n"/>
    </row>
    <row r="47">
      <c r="A47" s="9" t="n"/>
      <c r="B47" s="9" t="n"/>
      <c r="C47" s="9" t="n"/>
      <c r="D47" s="9" t="n"/>
      <c r="E47" s="10" t="n"/>
      <c r="F47" s="9" t="n"/>
      <c r="G47" s="9" t="n"/>
    </row>
    <row r="48">
      <c r="A48" s="9" t="n"/>
      <c r="B48" s="9" t="n"/>
      <c r="C48" s="9" t="n"/>
      <c r="D48" s="9" t="n"/>
      <c r="E48" s="10" t="n"/>
      <c r="F48" s="9" t="n"/>
      <c r="G48" s="9" t="n"/>
    </row>
    <row r="49">
      <c r="A49" s="9" t="n"/>
      <c r="B49" s="9" t="n"/>
      <c r="C49" s="9" t="n"/>
      <c r="D49" s="9" t="n"/>
      <c r="E49" s="10" t="n"/>
      <c r="F49" s="9" t="n"/>
      <c r="G49" s="9" t="n"/>
    </row>
    <row r="50">
      <c r="A50" s="9" t="n"/>
      <c r="B50" s="9" t="n"/>
      <c r="C50" s="9" t="n"/>
      <c r="D50" s="9" t="n"/>
      <c r="E50" s="10" t="n"/>
      <c r="F50" s="9" t="n"/>
      <c r="G50" s="9" t="n"/>
    </row>
    <row r="51">
      <c r="A51" s="9" t="n"/>
      <c r="B51" s="9" t="n"/>
      <c r="C51" s="9" t="n"/>
      <c r="D51" s="9" t="n"/>
      <c r="E51" s="10" t="n"/>
      <c r="F51" s="9" t="n"/>
      <c r="G51" s="9" t="n"/>
    </row>
    <row r="52">
      <c r="A52" s="9" t="n"/>
      <c r="B52" s="9" t="n"/>
      <c r="C52" s="9" t="n"/>
      <c r="D52" s="9" t="n"/>
      <c r="E52" s="10" t="n"/>
      <c r="F52" s="9" t="n"/>
      <c r="G52" s="9" t="n"/>
    </row>
    <row r="53">
      <c r="A53" s="9" t="n"/>
      <c r="B53" s="9" t="n"/>
      <c r="C53" s="9" t="n"/>
      <c r="D53" s="9" t="n"/>
      <c r="E53" s="10" t="n"/>
      <c r="F53" s="9" t="n"/>
      <c r="G53" s="9" t="n"/>
    </row>
    <row r="54">
      <c r="A54" s="9" t="n"/>
      <c r="B54" s="9" t="n"/>
      <c r="C54" s="9" t="n"/>
      <c r="D54" s="9" t="n"/>
      <c r="E54" s="10" t="n"/>
      <c r="F54" s="9" t="n"/>
      <c r="G54" s="9" t="n"/>
    </row>
    <row r="55">
      <c r="A55" s="9" t="n"/>
      <c r="B55" s="9" t="n"/>
      <c r="C55" s="9" t="n"/>
      <c r="D55" s="9" t="n"/>
      <c r="E55" s="10" t="n"/>
      <c r="F55" s="9" t="n"/>
      <c r="G55" s="9" t="n"/>
    </row>
    <row r="56">
      <c r="A56" s="9" t="n"/>
      <c r="B56" s="9" t="n"/>
      <c r="C56" s="9" t="n"/>
      <c r="D56" s="9" t="n"/>
      <c r="E56" s="10" t="n"/>
      <c r="F56" s="9" t="n"/>
      <c r="G56" s="9" t="n"/>
    </row>
    <row r="57">
      <c r="A57" s="9" t="n"/>
      <c r="B57" s="9" t="n"/>
      <c r="C57" s="9" t="n"/>
      <c r="D57" s="9" t="n"/>
      <c r="E57" s="10" t="n"/>
      <c r="F57" s="9" t="n"/>
      <c r="G57" s="9" t="n"/>
    </row>
    <row r="58">
      <c r="A58" s="9" t="n"/>
      <c r="B58" s="9" t="n"/>
      <c r="C58" s="9" t="n"/>
      <c r="D58" s="9" t="n"/>
      <c r="E58" s="10" t="n"/>
      <c r="F58" s="9" t="n"/>
      <c r="G58" s="9" t="n"/>
    </row>
    <row r="59">
      <c r="A59" s="9" t="n"/>
      <c r="B59" s="9" t="n"/>
      <c r="C59" s="9" t="n"/>
      <c r="D59" s="9" t="n"/>
      <c r="E59" s="10" t="n"/>
      <c r="F59" s="9" t="n"/>
      <c r="G59" s="9" t="n"/>
    </row>
    <row r="60">
      <c r="A60" s="9" t="n"/>
      <c r="B60" s="9" t="n"/>
      <c r="C60" s="9" t="n"/>
      <c r="D60" s="9" t="n"/>
      <c r="E60" s="10" t="n"/>
      <c r="F60" s="9" t="n"/>
      <c r="G60" s="9" t="n"/>
    </row>
  </sheetData>
  <autoFilter ref="A1:G60"/>
  <dataValidations count="3">
    <dataValidation sqref="E2:E60" showDropDown="0" showInputMessage="1" showErrorMessage="0" allowBlank="1" prompt="필수/중요/선택/보류" type="list">
      <formula1>"필수,중요,선택,보류"</formula1>
    </dataValidation>
    <dataValidation sqref="F2:F60" showDropDown="0" showInputMessage="1" showErrorMessage="0" allowBlank="1" prompt="구현됨/부분 구현/미구현/외부 대기" type="list">
      <formula1>"구현됨,부분 구현,미구현,외부 대기"</formula1>
    </dataValidation>
    <dataValidation sqref="B2:B60" showDropDown="0" showInputMessage="1" showErrorMessage="0" allowBlank="1" prompt="사용자 시트의 ID" type="list">
      <formula1>"U1,U2,U3,S1,S2"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20" customWidth="1" min="3" max="3"/>
    <col width="11" customWidth="1" min="4" max="4"/>
    <col width="46" customWidth="1" min="5" max="5"/>
    <col width="9" customWidth="1" min="6" max="6"/>
    <col width="40" customWidth="1" min="7" max="7"/>
    <col width="11" customWidth="1" min="8" max="8"/>
    <col width="16" customWidth="1" min="9" max="9"/>
    <col width="10" customWidth="1" min="10" max="10"/>
    <col width="10" customWidth="1" min="11" max="11"/>
    <col width="30" customWidth="1" min="12" max="12"/>
  </cols>
  <sheetData>
    <row r="1" ht="30" customHeight="1">
      <c r="A1" s="7" t="inlineStr">
        <is>
          <t>요구사항ID</t>
        </is>
      </c>
      <c r="B1" s="7" t="inlineStr">
        <is>
          <t>기능ID</t>
        </is>
      </c>
      <c r="C1" s="7" t="inlineStr">
        <is>
          <t>기능명 (자동)</t>
        </is>
      </c>
      <c r="D1" s="7" t="inlineStr">
        <is>
          <t>사용자 (자동)</t>
        </is>
      </c>
      <c r="E1" s="7" t="inlineStr">
        <is>
          <t>요구사항</t>
        </is>
      </c>
      <c r="F1" s="7" t="inlineStr">
        <is>
          <t>유형</t>
        </is>
      </c>
      <c r="G1" s="7" t="inlineStr">
        <is>
          <t>수용 기준 (어떻게 확인하나)</t>
        </is>
      </c>
      <c r="H1" s="7" t="inlineStr">
        <is>
          <t>우선순위</t>
        </is>
      </c>
      <c r="I1" s="7" t="inlineStr">
        <is>
          <t>출처</t>
        </is>
      </c>
      <c r="J1" s="7" t="inlineStr">
        <is>
          <t>상태</t>
        </is>
      </c>
      <c r="K1" s="7" t="inlineStr">
        <is>
          <t>담당</t>
        </is>
      </c>
      <c r="L1" s="7" t="inlineStr">
        <is>
          <t>비고</t>
        </is>
      </c>
    </row>
    <row r="2">
      <c r="A2" s="9" t="inlineStr">
        <is>
          <t>R001</t>
        </is>
      </c>
      <c r="B2" s="9" t="inlineStr">
        <is>
          <t>F01</t>
        </is>
      </c>
      <c r="C2" s="11">
        <f>IF(B2="공통","(공통)",IFERROR(INDEX(기능목록!$C$2:$C$300,MATCH(B2,기능목록!$A$2:$A$300,0)),"기능ID 확인"))</f>
        <v/>
      </c>
      <c r="D2" s="11">
        <f>IF(B2="공통","전체",IFERROR(INDEX(기능목록!$B$2:$B$300,MATCH(B2,기능목록!$A$2:$A$300,0)),""))</f>
        <v/>
      </c>
      <c r="E2" s="9" t="inlineStr">
        <is>
          <t>오늘 회차는 한국 시간 기준 날짜로 고른다</t>
        </is>
      </c>
      <c r="F2" s="9" t="inlineStr">
        <is>
          <t>기능</t>
        </is>
      </c>
      <c r="G2" s="9" t="inlineStr">
        <is>
          <t>밤 11시~새벽 1시에 봐도 날짜가 하루 밀리지 않는다</t>
        </is>
      </c>
      <c r="H2" s="10" t="inlineStr"/>
      <c r="I2" s="9" t="inlineStr">
        <is>
          <t>현재 구현</t>
        </is>
      </c>
      <c r="J2" s="9" t="inlineStr">
        <is>
          <t>초안</t>
        </is>
      </c>
      <c r="K2" s="10" t="inlineStr"/>
      <c r="L2" s="9" t="inlineStr"/>
    </row>
    <row r="3">
      <c r="A3" s="9" t="inlineStr">
        <is>
          <t>R002</t>
        </is>
      </c>
      <c r="B3" s="9" t="inlineStr">
        <is>
          <t>F01</t>
        </is>
      </c>
      <c r="C3" s="11">
        <f>IF(B3="공통","(공통)",IFERROR(INDEX(기능목록!$C$2:$C$300,MATCH(B3,기능목록!$A$2:$A$300,0)),"기능ID 확인"))</f>
        <v/>
      </c>
      <c r="D3" s="11">
        <f>IF(B3="공통","전체",IFERROR(INDEX(기능목록!$B$2:$B$300,MATCH(B3,기능목록!$A$2:$A$300,0)),""))</f>
        <v/>
      </c>
      <c r="E3" s="9" t="inlineStr">
        <is>
          <t>휴강 회차는 '휴강 · 사유' 로 보이고 출석 대상에서 빠진다</t>
        </is>
      </c>
      <c r="F3" s="9" t="inlineStr">
        <is>
          <t>기능</t>
        </is>
      </c>
      <c r="G3" s="9" t="inlineStr">
        <is>
          <t>휴강 처리한 회차가 출석 선택지에 없다</t>
        </is>
      </c>
      <c r="H3" s="10" t="inlineStr"/>
      <c r="I3" s="9" t="inlineStr">
        <is>
          <t>현재 구현</t>
        </is>
      </c>
      <c r="J3" s="9" t="inlineStr">
        <is>
          <t>초안</t>
        </is>
      </c>
      <c r="K3" s="10" t="inlineStr"/>
      <c r="L3" s="9" t="inlineStr"/>
    </row>
    <row r="4">
      <c r="A4" s="9" t="inlineStr">
        <is>
          <t>R003</t>
        </is>
      </c>
      <c r="B4" s="9" t="inlineStr">
        <is>
          <t>F03</t>
        </is>
      </c>
      <c r="C4" s="11">
        <f>IF(B4="공통","(공통)",IFERROR(INDEX(기능목록!$C$2:$C$300,MATCH(B4,기능목록!$A$2:$A$300,0)),"기능ID 확인"))</f>
        <v/>
      </c>
      <c r="D4" s="11">
        <f>IF(B4="공통","전체",IFERROR(INDEX(기능목록!$B$2:$B$300,MATCH(B4,기능목록!$A$2:$A$300,0)),""))</f>
        <v/>
      </c>
      <c r="E4" s="9" t="inlineStr">
        <is>
          <t>이름 일부, 띄어쓰기 없는 이름, 초성, 초성+글자 섞은 입력으로 찾는다</t>
        </is>
      </c>
      <c r="F4" s="9" t="inlineStr">
        <is>
          <t>기능</t>
        </is>
      </c>
      <c r="G4" s="9" t="inlineStr">
        <is>
          <t>'ㅎㅈㅅ' 로 화장실이 나온다</t>
        </is>
      </c>
      <c r="H4" s="10" t="inlineStr"/>
      <c r="I4" s="9" t="inlineStr">
        <is>
          <t>현재 구현</t>
        </is>
      </c>
      <c r="J4" s="9" t="inlineStr">
        <is>
          <t>초안</t>
        </is>
      </c>
      <c r="K4" s="10" t="inlineStr"/>
      <c r="L4" s="9" t="inlineStr"/>
    </row>
    <row r="5">
      <c r="A5" s="9" t="inlineStr">
        <is>
          <t>R004</t>
        </is>
      </c>
      <c r="B5" s="9" t="inlineStr">
        <is>
          <t>F03</t>
        </is>
      </c>
      <c r="C5" s="11">
        <f>IF(B5="공통","(공통)",IFERROR(INDEX(기능목록!$C$2:$C$300,MATCH(B5,기능목록!$A$2:$A$300,0)),"기능ID 확인"))</f>
        <v/>
      </c>
      <c r="D5" s="11">
        <f>IF(B5="공통","전체",IFERROR(INDEX(기능목록!$B$2:$B$300,MATCH(B5,기능목록!$A$2:$A$300,0)),""))</f>
        <v/>
      </c>
      <c r="E5" s="9" t="inlineStr">
        <is>
          <t>검색 결과가 없으면 직원에게 도움을 청하라는 안내를 보인다</t>
        </is>
      </c>
      <c r="F5" s="9" t="inlineStr">
        <is>
          <t>기능</t>
        </is>
      </c>
      <c r="G5" s="9" t="inlineStr">
        <is>
          <t>없는 이름을 치면 안내 문구가 뜬다</t>
        </is>
      </c>
      <c r="H5" s="10" t="inlineStr"/>
      <c r="I5" s="9" t="inlineStr">
        <is>
          <t>현재 구현</t>
        </is>
      </c>
      <c r="J5" s="9" t="inlineStr">
        <is>
          <t>초안</t>
        </is>
      </c>
      <c r="K5" s="10" t="inlineStr"/>
      <c r="L5" s="9" t="inlineStr"/>
    </row>
    <row r="6">
      <c r="A6" s="9" t="inlineStr">
        <is>
          <t>R005</t>
        </is>
      </c>
      <c r="B6" s="9" t="inlineStr">
        <is>
          <t>F05</t>
        </is>
      </c>
      <c r="C6" s="11">
        <f>IF(B6="공통","(공통)",IFERROR(INDEX(기능목록!$C$2:$C$300,MATCH(B6,기능목록!$A$2:$A$300,0)),"기능ID 확인"))</f>
        <v/>
      </c>
      <c r="D6" s="11">
        <f>IF(B6="공통","전체",IFERROR(INDEX(기능목록!$B$2:$B$300,MATCH(B6,기능목록!$A$2:$A$300,0)),""))</f>
        <v/>
      </c>
      <c r="E6" s="9" t="inlineStr">
        <is>
          <t>스캐너 입력만 출석으로 받고 사람이 치는 글자는 무시한다</t>
        </is>
      </c>
      <c r="F6" s="9" t="inlineStr">
        <is>
          <t>기능</t>
        </is>
      </c>
      <c r="G6" s="9" t="inlineStr">
        <is>
          <t>실제 스캐너로 찍으면 출석, 손으로 치면 무시</t>
        </is>
      </c>
      <c r="H6" s="10" t="inlineStr"/>
      <c r="I6" s="9" t="inlineStr">
        <is>
          <t>현재 구현</t>
        </is>
      </c>
      <c r="J6" s="9" t="inlineStr">
        <is>
          <t>초안</t>
        </is>
      </c>
      <c r="K6" s="10" t="inlineStr"/>
      <c r="L6" s="9" t="inlineStr"/>
    </row>
    <row r="7">
      <c r="A7" s="9" t="inlineStr">
        <is>
          <t>R006</t>
        </is>
      </c>
      <c r="B7" s="9" t="inlineStr">
        <is>
          <t>F05</t>
        </is>
      </c>
      <c r="C7" s="11">
        <f>IF(B7="공통","(공통)",IFERROR(INDEX(기능목록!$C$2:$C$300,MATCH(B7,기능목록!$A$2:$A$300,0)),"기능ID 확인"))</f>
        <v/>
      </c>
      <c r="D7" s="11">
        <f>IF(B7="공통","전체",IFERROR(INDEX(기능목록!$B$2:$B$300,MATCH(B7,기능목록!$A$2:$A$300,0)),""))</f>
        <v/>
      </c>
      <c r="E7" s="9" t="inlineStr">
        <is>
          <t>회원번호·QR 원문을 DB 와 로그에 남기지 않는다</t>
        </is>
      </c>
      <c r="F7" s="9" t="inlineStr">
        <is>
          <t>비기능</t>
        </is>
      </c>
      <c r="G7" s="9" t="inlineStr">
        <is>
          <t>DB 에 해시값만 있다</t>
        </is>
      </c>
      <c r="H7" s="10" t="inlineStr"/>
      <c r="I7" s="9" t="inlineStr">
        <is>
          <t>현재 구현</t>
        </is>
      </c>
      <c r="J7" s="9" t="inlineStr">
        <is>
          <t>초안</t>
        </is>
      </c>
      <c r="K7" s="10" t="inlineStr"/>
      <c r="L7" s="9" t="inlineStr"/>
    </row>
    <row r="8">
      <c r="A8" s="9" t="inlineStr">
        <is>
          <t>R007</t>
        </is>
      </c>
      <c r="B8" s="9" t="inlineStr">
        <is>
          <t>F06</t>
        </is>
      </c>
      <c r="C8" s="11">
        <f>IF(B8="공통","(공통)",IFERROR(INDEX(기능목록!$C$2:$C$300,MATCH(B8,기능목록!$A$2:$A$300,0)),"기능ID 확인"))</f>
        <v/>
      </c>
      <c r="D8" s="11">
        <f>IF(B8="공통","전체",IFERROR(INDEX(기능목록!$B$2:$B$300,MATCH(B8,기능목록!$A$2:$A$300,0)),""))</f>
        <v/>
      </c>
      <c r="E8" s="9" t="inlineStr">
        <is>
          <t>용지 폭 80mm / 58mm 를 고를 수 있다</t>
        </is>
      </c>
      <c r="F8" s="9" t="inlineStr">
        <is>
          <t>기능</t>
        </is>
      </c>
      <c r="G8" s="9" t="inlineStr">
        <is>
          <t>두 폭에서 글자가 잘리지 않는다 (실물 확인 필요)</t>
        </is>
      </c>
      <c r="H8" s="10" t="inlineStr"/>
      <c r="I8" s="9" t="inlineStr">
        <is>
          <t>현재 구현</t>
        </is>
      </c>
      <c r="J8" s="9" t="inlineStr">
        <is>
          <t>초안</t>
        </is>
      </c>
      <c r="K8" s="10" t="inlineStr"/>
      <c r="L8" s="9" t="inlineStr"/>
    </row>
    <row r="9">
      <c r="A9" s="9" t="inlineStr">
        <is>
          <t>R008</t>
        </is>
      </c>
      <c r="B9" s="9" t="inlineStr">
        <is>
          <t>F09</t>
        </is>
      </c>
      <c r="C9" s="11">
        <f>IF(B9="공통","(공통)",IFERROR(INDEX(기능목록!$C$2:$C$300,MATCH(B9,기능목록!$A$2:$A$300,0)),"기능ID 확인"))</f>
        <v/>
      </c>
      <c r="D9" s="11">
        <f>IF(B9="공통","전체",IFERROR(INDEX(기능목록!$B$2:$B$300,MATCH(B9,기능목록!$A$2:$A$300,0)),""))</f>
        <v/>
      </c>
      <c r="E9" s="9" t="inlineStr">
        <is>
          <t>비밀번호를 5번 틀리면 30초 동안 막는다</t>
        </is>
      </c>
      <c r="F9" s="9" t="inlineStr">
        <is>
          <t>비기능</t>
        </is>
      </c>
      <c r="G9" s="9" t="inlineStr">
        <is>
          <t>6번째 시도에 '30초 후' 안내</t>
        </is>
      </c>
      <c r="H9" s="10" t="inlineStr"/>
      <c r="I9" s="9" t="inlineStr">
        <is>
          <t>현재 구현</t>
        </is>
      </c>
      <c r="J9" s="9" t="inlineStr">
        <is>
          <t>초안</t>
        </is>
      </c>
      <c r="K9" s="10" t="inlineStr"/>
      <c r="L9" s="9" t="inlineStr"/>
    </row>
    <row r="10">
      <c r="A10" s="9" t="inlineStr">
        <is>
          <t>R009</t>
        </is>
      </c>
      <c r="B10" s="9" t="inlineStr">
        <is>
          <t>F11</t>
        </is>
      </c>
      <c r="C10" s="11">
        <f>IF(B10="공통","(공통)",IFERROR(INDEX(기능목록!$C$2:$C$300,MATCH(B10,기능목록!$A$2:$A$300,0)),"기능ID 확인"))</f>
        <v/>
      </c>
      <c r="D10" s="11">
        <f>IF(B10="공통","전체",IFERROR(INDEX(기능목록!$B$2:$B$300,MATCH(B10,기능목록!$A$2:$A$300,0)),""))</f>
        <v/>
      </c>
      <c r="E10" s="9" t="inlineStr">
        <is>
          <t>매주·격주로 N회 반복 회차를 한 번에 만든다</t>
        </is>
      </c>
      <c r="F10" s="9" t="inlineStr">
        <is>
          <t>기능</t>
        </is>
      </c>
      <c r="G10" s="9" t="inlineStr">
        <is>
          <t>'매주 화 10시 8주' 로 회차 8개가 생긴다</t>
        </is>
      </c>
      <c r="H10" s="10" t="inlineStr"/>
      <c r="I10" s="9" t="inlineStr">
        <is>
          <t>현재 구현</t>
        </is>
      </c>
      <c r="J10" s="9" t="inlineStr">
        <is>
          <t>초안</t>
        </is>
      </c>
      <c r="K10" s="10" t="inlineStr"/>
      <c r="L10" s="9" t="inlineStr"/>
    </row>
    <row r="11">
      <c r="A11" s="9" t="inlineStr">
        <is>
          <t>R010</t>
        </is>
      </c>
      <c r="B11" s="9" t="inlineStr">
        <is>
          <t>F11</t>
        </is>
      </c>
      <c r="C11" s="11">
        <f>IF(B11="공통","(공통)",IFERROR(INDEX(기능목록!$C$2:$C$300,MATCH(B11,기능목록!$A$2:$A$300,0)),"기능ID 확인"))</f>
        <v/>
      </c>
      <c r="D11" s="11">
        <f>IF(B11="공통","전체",IFERROR(INDEX(기능목록!$B$2:$B$300,MATCH(B11,기능목록!$A$2:$A$300,0)),""))</f>
        <v/>
      </c>
      <c r="E11" s="9" t="inlineStr">
        <is>
          <t>회차는 지우지 않고 휴강으로 처리하며 사유를 반드시 받는다</t>
        </is>
      </c>
      <c r="F11" s="9" t="inlineStr">
        <is>
          <t>기능</t>
        </is>
      </c>
      <c r="G11" s="9" t="inlineStr">
        <is>
          <t>사유 없이 휴강 저장이 안 된다</t>
        </is>
      </c>
      <c r="H11" s="10" t="inlineStr"/>
      <c r="I11" s="9" t="inlineStr">
        <is>
          <t>현재 구현</t>
        </is>
      </c>
      <c r="J11" s="9" t="inlineStr">
        <is>
          <t>초안</t>
        </is>
      </c>
      <c r="K11" s="10" t="inlineStr"/>
      <c r="L11" s="9" t="inlineStr"/>
    </row>
    <row r="12">
      <c r="A12" s="9" t="inlineStr">
        <is>
          <t>R011</t>
        </is>
      </c>
      <c r="B12" s="9" t="inlineStr">
        <is>
          <t>공통</t>
        </is>
      </c>
      <c r="C12" s="11">
        <f>IF(B12="공통","(공통)",IFERROR(INDEX(기능목록!$C$2:$C$300,MATCH(B12,기능목록!$A$2:$A$300,0)),"기능ID 확인"))</f>
        <v/>
      </c>
      <c r="D12" s="11">
        <f>IF(B12="공통","전체",IFERROR(INDEX(기능목록!$B$2:$B$300,MATCH(B12,기능목록!$A$2:$A$300,0)),""))</f>
        <v/>
      </c>
      <c r="E12" s="9" t="inlineStr">
        <is>
          <t>인터넷 없이 복지관 안 네트워크(LAN)에서 동작한다</t>
        </is>
      </c>
      <c r="F12" s="9" t="inlineStr">
        <is>
          <t>제약</t>
        </is>
      </c>
      <c r="G12" s="9" t="inlineStr">
        <is>
          <t>인터넷을 끊어도 모든 화면이 뜬다</t>
        </is>
      </c>
      <c r="H12" s="10" t="inlineStr"/>
      <c r="I12" s="9" t="inlineStr">
        <is>
          <t>계획서</t>
        </is>
      </c>
      <c r="J12" s="9" t="inlineStr">
        <is>
          <t>초안</t>
        </is>
      </c>
      <c r="K12" s="10" t="inlineStr"/>
      <c r="L12" s="9" t="inlineStr"/>
    </row>
    <row r="13">
      <c r="A13" s="9" t="inlineStr">
        <is>
          <t>R012</t>
        </is>
      </c>
      <c r="B13" s="9" t="inlineStr">
        <is>
          <t>공통</t>
        </is>
      </c>
      <c r="C13" s="11">
        <f>IF(B13="공통","(공통)",IFERROR(INDEX(기능목록!$C$2:$C$300,MATCH(B13,기능목록!$A$2:$A$300,0)),"기능ID 확인"))</f>
        <v/>
      </c>
      <c r="D13" s="11">
        <f>IF(B13="공통","전체",IFERROR(INDEX(기능목록!$B$2:$B$300,MATCH(B13,기능목록!$A$2:$A$300,0)),""))</f>
        <v/>
      </c>
      <c r="E13" s="9" t="inlineStr">
        <is>
          <t>태블릿·폰 폭(360~1366px)에서 화면이 옆으로 밀리지 않는다</t>
        </is>
      </c>
      <c r="F13" s="9" t="inlineStr">
        <is>
          <t>비기능</t>
        </is>
      </c>
      <c r="G13" s="9" t="inlineStr">
        <is>
          <t>12개 폭에서 가로 스크롤 없음</t>
        </is>
      </c>
      <c r="H13" s="10" t="inlineStr"/>
      <c r="I13" s="9" t="inlineStr">
        <is>
          <t>현재 구현</t>
        </is>
      </c>
      <c r="J13" s="9" t="inlineStr">
        <is>
          <t>초안</t>
        </is>
      </c>
      <c r="K13" s="10" t="inlineStr"/>
      <c r="L13" s="9" t="inlineStr"/>
    </row>
    <row r="14">
      <c r="A14" s="9" t="inlineStr">
        <is>
          <t>R013</t>
        </is>
      </c>
      <c r="B14" s="9" t="inlineStr">
        <is>
          <t>공통</t>
        </is>
      </c>
      <c r="C14" s="11">
        <f>IF(B14="공통","(공통)",IFERROR(INDEX(기능목록!$C$2:$C$300,MATCH(B14,기능목록!$A$2:$A$300,0)),"기능ID 확인"))</f>
        <v/>
      </c>
      <c r="D14" s="11">
        <f>IF(B14="공통","전체",IFERROR(INDEX(기능목록!$B$2:$B$300,MATCH(B14,기능목록!$A$2:$A$300,0)),""))</f>
        <v/>
      </c>
      <c r="E14" s="9" t="inlineStr">
        <is>
          <t>어르신이 읽기 쉽게 본문을 굵게 쓴다</t>
        </is>
      </c>
      <c r="F14" s="9" t="inlineStr">
        <is>
          <t>비기능</t>
        </is>
      </c>
      <c r="G14" s="9" t="inlineStr">
        <is>
          <t>실제 태블릿에서 읽힌다 (현장 확인 필요)</t>
        </is>
      </c>
      <c r="H14" s="10" t="inlineStr"/>
      <c r="I14" s="9" t="inlineStr">
        <is>
          <t>현재 구현</t>
        </is>
      </c>
      <c r="J14" s="9" t="inlineStr">
        <is>
          <t>초안</t>
        </is>
      </c>
      <c r="K14" s="10" t="inlineStr"/>
      <c r="L14" s="9" t="inlineStr"/>
    </row>
    <row r="15">
      <c r="A15" s="9" t="inlineStr">
        <is>
          <t>R014</t>
        </is>
      </c>
      <c r="B15" s="9" t="inlineStr">
        <is>
          <t>공통</t>
        </is>
      </c>
      <c r="C15" s="11">
        <f>IF(B15="공통","(공통)",IFERROR(INDEX(기능목록!$C$2:$C$300,MATCH(B15,기능목록!$A$2:$A$300,0)),"기능ID 확인"))</f>
        <v/>
      </c>
      <c r="D15" s="11">
        <f>IF(B15="공통","전체",IFERROR(INDEX(기능목록!$B$2:$B$300,MATCH(B15,기능목록!$A$2:$A$300,0)),""))</f>
        <v/>
      </c>
      <c r="E15" s="9" t="inlineStr">
        <is>
          <t>데이터 저장은 SQLite 로 한다</t>
        </is>
      </c>
      <c r="F15" s="9" t="inlineStr">
        <is>
          <t>제약</t>
        </is>
      </c>
      <c r="G15" s="9" t="inlineStr"/>
      <c r="H15" s="10" t="inlineStr"/>
      <c r="I15" s="9" t="inlineStr">
        <is>
          <t>계획서 10번 (팀 합의)</t>
        </is>
      </c>
      <c r="J15" s="9" t="inlineStr">
        <is>
          <t>초안</t>
        </is>
      </c>
      <c r="K15" s="10" t="inlineStr"/>
      <c r="L15" s="9" t="inlineStr"/>
    </row>
    <row r="16">
      <c r="A16" s="9" t="n"/>
      <c r="B16" s="9" t="n"/>
      <c r="C16" s="11">
        <f>IF(B16="","",IF(B16="공통","(공통)",IFERROR(INDEX(기능목록!$C$2:$C$300,MATCH(B16,기능목록!$A$2:$A$300,0)),"기능ID 확인")))</f>
        <v/>
      </c>
      <c r="D16" s="11">
        <f>IF(B16="","",IF(B16="공통","전체",IFERROR(INDEX(기능목록!$B$2:$B$300,MATCH(B16,기능목록!$A$2:$A$300,0)),"")))</f>
        <v/>
      </c>
      <c r="E16" s="9" t="n"/>
      <c r="F16" s="9" t="n"/>
      <c r="G16" s="9" t="n"/>
      <c r="H16" s="10" t="n"/>
      <c r="I16" s="9" t="n"/>
      <c r="J16" s="9" t="n"/>
      <c r="K16" s="10" t="n"/>
      <c r="L16" s="9" t="n"/>
    </row>
    <row r="17">
      <c r="A17" s="9" t="n"/>
      <c r="B17" s="9" t="n"/>
      <c r="C17" s="11">
        <f>IF(B17="","",IF(B17="공통","(공통)",IFERROR(INDEX(기능목록!$C$2:$C$300,MATCH(B17,기능목록!$A$2:$A$300,0)),"기능ID 확인")))</f>
        <v/>
      </c>
      <c r="D17" s="11">
        <f>IF(B17="","",IF(B17="공통","전체",IFERROR(INDEX(기능목록!$B$2:$B$300,MATCH(B17,기능목록!$A$2:$A$300,0)),"")))</f>
        <v/>
      </c>
      <c r="E17" s="9" t="n"/>
      <c r="F17" s="9" t="n"/>
      <c r="G17" s="9" t="n"/>
      <c r="H17" s="10" t="n"/>
      <c r="I17" s="9" t="n"/>
      <c r="J17" s="9" t="n"/>
      <c r="K17" s="10" t="n"/>
      <c r="L17" s="9" t="n"/>
    </row>
    <row r="18">
      <c r="A18" s="9" t="n"/>
      <c r="B18" s="9" t="n"/>
      <c r="C18" s="11">
        <f>IF(B18="","",IF(B18="공통","(공통)",IFERROR(INDEX(기능목록!$C$2:$C$300,MATCH(B18,기능목록!$A$2:$A$300,0)),"기능ID 확인")))</f>
        <v/>
      </c>
      <c r="D18" s="11">
        <f>IF(B18="","",IF(B18="공통","전체",IFERROR(INDEX(기능목록!$B$2:$B$300,MATCH(B18,기능목록!$A$2:$A$300,0)),"")))</f>
        <v/>
      </c>
      <c r="E18" s="9" t="n"/>
      <c r="F18" s="9" t="n"/>
      <c r="G18" s="9" t="n"/>
      <c r="H18" s="10" t="n"/>
      <c r="I18" s="9" t="n"/>
      <c r="J18" s="9" t="n"/>
      <c r="K18" s="10" t="n"/>
      <c r="L18" s="9" t="n"/>
    </row>
    <row r="19">
      <c r="A19" s="9" t="n"/>
      <c r="B19" s="9" t="n"/>
      <c r="C19" s="11">
        <f>IF(B19="","",IF(B19="공통","(공통)",IFERROR(INDEX(기능목록!$C$2:$C$300,MATCH(B19,기능목록!$A$2:$A$300,0)),"기능ID 확인")))</f>
        <v/>
      </c>
      <c r="D19" s="11">
        <f>IF(B19="","",IF(B19="공통","전체",IFERROR(INDEX(기능목록!$B$2:$B$300,MATCH(B19,기능목록!$A$2:$A$300,0)),"")))</f>
        <v/>
      </c>
      <c r="E19" s="9" t="n"/>
      <c r="F19" s="9" t="n"/>
      <c r="G19" s="9" t="n"/>
      <c r="H19" s="10" t="n"/>
      <c r="I19" s="9" t="n"/>
      <c r="J19" s="9" t="n"/>
      <c r="K19" s="10" t="n"/>
      <c r="L19" s="9" t="n"/>
    </row>
    <row r="20">
      <c r="A20" s="9" t="n"/>
      <c r="B20" s="9" t="n"/>
      <c r="C20" s="11">
        <f>IF(B20="","",IF(B20="공통","(공통)",IFERROR(INDEX(기능목록!$C$2:$C$300,MATCH(B20,기능목록!$A$2:$A$300,0)),"기능ID 확인")))</f>
        <v/>
      </c>
      <c r="D20" s="11">
        <f>IF(B20="","",IF(B20="공통","전체",IFERROR(INDEX(기능목록!$B$2:$B$300,MATCH(B20,기능목록!$A$2:$A$300,0)),"")))</f>
        <v/>
      </c>
      <c r="E20" s="9" t="n"/>
      <c r="F20" s="9" t="n"/>
      <c r="G20" s="9" t="n"/>
      <c r="H20" s="10" t="n"/>
      <c r="I20" s="9" t="n"/>
      <c r="J20" s="9" t="n"/>
      <c r="K20" s="10" t="n"/>
      <c r="L20" s="9" t="n"/>
    </row>
    <row r="21">
      <c r="A21" s="9" t="n"/>
      <c r="B21" s="9" t="n"/>
      <c r="C21" s="11">
        <f>IF(B21="","",IF(B21="공통","(공통)",IFERROR(INDEX(기능목록!$C$2:$C$300,MATCH(B21,기능목록!$A$2:$A$300,0)),"기능ID 확인")))</f>
        <v/>
      </c>
      <c r="D21" s="11">
        <f>IF(B21="","",IF(B21="공통","전체",IFERROR(INDEX(기능목록!$B$2:$B$300,MATCH(B21,기능목록!$A$2:$A$300,0)),"")))</f>
        <v/>
      </c>
      <c r="E21" s="9" t="n"/>
      <c r="F21" s="9" t="n"/>
      <c r="G21" s="9" t="n"/>
      <c r="H21" s="10" t="n"/>
      <c r="I21" s="9" t="n"/>
      <c r="J21" s="9" t="n"/>
      <c r="K21" s="10" t="n"/>
      <c r="L21" s="9" t="n"/>
    </row>
    <row r="22">
      <c r="A22" s="9" t="n"/>
      <c r="B22" s="9" t="n"/>
      <c r="C22" s="11">
        <f>IF(B22="","",IF(B22="공통","(공통)",IFERROR(INDEX(기능목록!$C$2:$C$300,MATCH(B22,기능목록!$A$2:$A$300,0)),"기능ID 확인")))</f>
        <v/>
      </c>
      <c r="D22" s="11">
        <f>IF(B22="","",IF(B22="공통","전체",IFERROR(INDEX(기능목록!$B$2:$B$300,MATCH(B22,기능목록!$A$2:$A$300,0)),"")))</f>
        <v/>
      </c>
      <c r="E22" s="9" t="n"/>
      <c r="F22" s="9" t="n"/>
      <c r="G22" s="9" t="n"/>
      <c r="H22" s="10" t="n"/>
      <c r="I22" s="9" t="n"/>
      <c r="J22" s="9" t="n"/>
      <c r="K22" s="10" t="n"/>
      <c r="L22" s="9" t="n"/>
    </row>
    <row r="23">
      <c r="A23" s="9" t="n"/>
      <c r="B23" s="9" t="n"/>
      <c r="C23" s="11">
        <f>IF(B23="","",IF(B23="공통","(공통)",IFERROR(INDEX(기능목록!$C$2:$C$300,MATCH(B23,기능목록!$A$2:$A$300,0)),"기능ID 확인")))</f>
        <v/>
      </c>
      <c r="D23" s="11">
        <f>IF(B23="","",IF(B23="공통","전체",IFERROR(INDEX(기능목록!$B$2:$B$300,MATCH(B23,기능목록!$A$2:$A$300,0)),"")))</f>
        <v/>
      </c>
      <c r="E23" s="9" t="n"/>
      <c r="F23" s="9" t="n"/>
      <c r="G23" s="9" t="n"/>
      <c r="H23" s="10" t="n"/>
      <c r="I23" s="9" t="n"/>
      <c r="J23" s="9" t="n"/>
      <c r="K23" s="10" t="n"/>
      <c r="L23" s="9" t="n"/>
    </row>
    <row r="24">
      <c r="A24" s="9" t="n"/>
      <c r="B24" s="9" t="n"/>
      <c r="C24" s="11">
        <f>IF(B24="","",IF(B24="공통","(공통)",IFERROR(INDEX(기능목록!$C$2:$C$300,MATCH(B24,기능목록!$A$2:$A$300,0)),"기능ID 확인")))</f>
        <v/>
      </c>
      <c r="D24" s="11">
        <f>IF(B24="","",IF(B24="공통","전체",IFERROR(INDEX(기능목록!$B$2:$B$300,MATCH(B24,기능목록!$A$2:$A$300,0)),"")))</f>
        <v/>
      </c>
      <c r="E24" s="9" t="n"/>
      <c r="F24" s="9" t="n"/>
      <c r="G24" s="9" t="n"/>
      <c r="H24" s="10" t="n"/>
      <c r="I24" s="9" t="n"/>
      <c r="J24" s="9" t="n"/>
      <c r="K24" s="10" t="n"/>
      <c r="L24" s="9" t="n"/>
    </row>
    <row r="25">
      <c r="A25" s="9" t="n"/>
      <c r="B25" s="9" t="n"/>
      <c r="C25" s="11">
        <f>IF(B25="","",IF(B25="공통","(공통)",IFERROR(INDEX(기능목록!$C$2:$C$300,MATCH(B25,기능목록!$A$2:$A$300,0)),"기능ID 확인")))</f>
        <v/>
      </c>
      <c r="D25" s="11">
        <f>IF(B25="","",IF(B25="공통","전체",IFERROR(INDEX(기능목록!$B$2:$B$300,MATCH(B25,기능목록!$A$2:$A$300,0)),"")))</f>
        <v/>
      </c>
      <c r="E25" s="9" t="n"/>
      <c r="F25" s="9" t="n"/>
      <c r="G25" s="9" t="n"/>
      <c r="H25" s="10" t="n"/>
      <c r="I25" s="9" t="n"/>
      <c r="J25" s="9" t="n"/>
      <c r="K25" s="10" t="n"/>
      <c r="L25" s="9" t="n"/>
    </row>
    <row r="26">
      <c r="A26" s="9" t="n"/>
      <c r="B26" s="9" t="n"/>
      <c r="C26" s="11">
        <f>IF(B26="","",IF(B26="공통","(공통)",IFERROR(INDEX(기능목록!$C$2:$C$300,MATCH(B26,기능목록!$A$2:$A$300,0)),"기능ID 확인")))</f>
        <v/>
      </c>
      <c r="D26" s="11">
        <f>IF(B26="","",IF(B26="공통","전체",IFERROR(INDEX(기능목록!$B$2:$B$300,MATCH(B26,기능목록!$A$2:$A$300,0)),"")))</f>
        <v/>
      </c>
      <c r="E26" s="9" t="n"/>
      <c r="F26" s="9" t="n"/>
      <c r="G26" s="9" t="n"/>
      <c r="H26" s="10" t="n"/>
      <c r="I26" s="9" t="n"/>
      <c r="J26" s="9" t="n"/>
      <c r="K26" s="10" t="n"/>
      <c r="L26" s="9" t="n"/>
    </row>
    <row r="27">
      <c r="A27" s="9" t="n"/>
      <c r="B27" s="9" t="n"/>
      <c r="C27" s="11">
        <f>IF(B27="","",IF(B27="공통","(공통)",IFERROR(INDEX(기능목록!$C$2:$C$300,MATCH(B27,기능목록!$A$2:$A$300,0)),"기능ID 확인")))</f>
        <v/>
      </c>
      <c r="D27" s="11">
        <f>IF(B27="","",IF(B27="공통","전체",IFERROR(INDEX(기능목록!$B$2:$B$300,MATCH(B27,기능목록!$A$2:$A$300,0)),"")))</f>
        <v/>
      </c>
      <c r="E27" s="9" t="n"/>
      <c r="F27" s="9" t="n"/>
      <c r="G27" s="9" t="n"/>
      <c r="H27" s="10" t="n"/>
      <c r="I27" s="9" t="n"/>
      <c r="J27" s="9" t="n"/>
      <c r="K27" s="10" t="n"/>
      <c r="L27" s="9" t="n"/>
    </row>
    <row r="28">
      <c r="A28" s="9" t="n"/>
      <c r="B28" s="9" t="n"/>
      <c r="C28" s="11">
        <f>IF(B28="","",IF(B28="공통","(공통)",IFERROR(INDEX(기능목록!$C$2:$C$300,MATCH(B28,기능목록!$A$2:$A$300,0)),"기능ID 확인")))</f>
        <v/>
      </c>
      <c r="D28" s="11">
        <f>IF(B28="","",IF(B28="공통","전체",IFERROR(INDEX(기능목록!$B$2:$B$300,MATCH(B28,기능목록!$A$2:$A$300,0)),"")))</f>
        <v/>
      </c>
      <c r="E28" s="9" t="n"/>
      <c r="F28" s="9" t="n"/>
      <c r="G28" s="9" t="n"/>
      <c r="H28" s="10" t="n"/>
      <c r="I28" s="9" t="n"/>
      <c r="J28" s="9" t="n"/>
      <c r="K28" s="10" t="n"/>
      <c r="L28" s="9" t="n"/>
    </row>
    <row r="29">
      <c r="A29" s="9" t="n"/>
      <c r="B29" s="9" t="n"/>
      <c r="C29" s="11">
        <f>IF(B29="","",IF(B29="공통","(공통)",IFERROR(INDEX(기능목록!$C$2:$C$300,MATCH(B29,기능목록!$A$2:$A$300,0)),"기능ID 확인")))</f>
        <v/>
      </c>
      <c r="D29" s="11">
        <f>IF(B29="","",IF(B29="공통","전체",IFERROR(INDEX(기능목록!$B$2:$B$300,MATCH(B29,기능목록!$A$2:$A$300,0)),"")))</f>
        <v/>
      </c>
      <c r="E29" s="9" t="n"/>
      <c r="F29" s="9" t="n"/>
      <c r="G29" s="9" t="n"/>
      <c r="H29" s="10" t="n"/>
      <c r="I29" s="9" t="n"/>
      <c r="J29" s="9" t="n"/>
      <c r="K29" s="10" t="n"/>
      <c r="L29" s="9" t="n"/>
    </row>
    <row r="30">
      <c r="A30" s="9" t="n"/>
      <c r="B30" s="9" t="n"/>
      <c r="C30" s="11">
        <f>IF(B30="","",IF(B30="공통","(공통)",IFERROR(INDEX(기능목록!$C$2:$C$300,MATCH(B30,기능목록!$A$2:$A$300,0)),"기능ID 확인")))</f>
        <v/>
      </c>
      <c r="D30" s="11">
        <f>IF(B30="","",IF(B30="공통","전체",IFERROR(INDEX(기능목록!$B$2:$B$300,MATCH(B30,기능목록!$A$2:$A$300,0)),"")))</f>
        <v/>
      </c>
      <c r="E30" s="9" t="n"/>
      <c r="F30" s="9" t="n"/>
      <c r="G30" s="9" t="n"/>
      <c r="H30" s="10" t="n"/>
      <c r="I30" s="9" t="n"/>
      <c r="J30" s="9" t="n"/>
      <c r="K30" s="10" t="n"/>
      <c r="L30" s="9" t="n"/>
    </row>
    <row r="31">
      <c r="A31" s="9" t="n"/>
      <c r="B31" s="9" t="n"/>
      <c r="C31" s="11">
        <f>IF(B31="","",IF(B31="공통","(공통)",IFERROR(INDEX(기능목록!$C$2:$C$300,MATCH(B31,기능목록!$A$2:$A$300,0)),"기능ID 확인")))</f>
        <v/>
      </c>
      <c r="D31" s="11">
        <f>IF(B31="","",IF(B31="공통","전체",IFERROR(INDEX(기능목록!$B$2:$B$300,MATCH(B31,기능목록!$A$2:$A$300,0)),"")))</f>
        <v/>
      </c>
      <c r="E31" s="9" t="n"/>
      <c r="F31" s="9" t="n"/>
      <c r="G31" s="9" t="n"/>
      <c r="H31" s="10" t="n"/>
      <c r="I31" s="9" t="n"/>
      <c r="J31" s="9" t="n"/>
      <c r="K31" s="10" t="n"/>
      <c r="L31" s="9" t="n"/>
    </row>
    <row r="32">
      <c r="A32" s="9" t="n"/>
      <c r="B32" s="9" t="n"/>
      <c r="C32" s="11">
        <f>IF(B32="","",IF(B32="공통","(공통)",IFERROR(INDEX(기능목록!$C$2:$C$300,MATCH(B32,기능목록!$A$2:$A$300,0)),"기능ID 확인")))</f>
        <v/>
      </c>
      <c r="D32" s="11">
        <f>IF(B32="","",IF(B32="공통","전체",IFERROR(INDEX(기능목록!$B$2:$B$300,MATCH(B32,기능목록!$A$2:$A$300,0)),"")))</f>
        <v/>
      </c>
      <c r="E32" s="9" t="n"/>
      <c r="F32" s="9" t="n"/>
      <c r="G32" s="9" t="n"/>
      <c r="H32" s="10" t="n"/>
      <c r="I32" s="9" t="n"/>
      <c r="J32" s="9" t="n"/>
      <c r="K32" s="10" t="n"/>
      <c r="L32" s="9" t="n"/>
    </row>
    <row r="33">
      <c r="A33" s="9" t="n"/>
      <c r="B33" s="9" t="n"/>
      <c r="C33" s="11">
        <f>IF(B33="","",IF(B33="공통","(공통)",IFERROR(INDEX(기능목록!$C$2:$C$300,MATCH(B33,기능목록!$A$2:$A$300,0)),"기능ID 확인")))</f>
        <v/>
      </c>
      <c r="D33" s="11">
        <f>IF(B33="","",IF(B33="공통","전체",IFERROR(INDEX(기능목록!$B$2:$B$300,MATCH(B33,기능목록!$A$2:$A$300,0)),"")))</f>
        <v/>
      </c>
      <c r="E33" s="9" t="n"/>
      <c r="F33" s="9" t="n"/>
      <c r="G33" s="9" t="n"/>
      <c r="H33" s="10" t="n"/>
      <c r="I33" s="9" t="n"/>
      <c r="J33" s="9" t="n"/>
      <c r="K33" s="10" t="n"/>
      <c r="L33" s="9" t="n"/>
    </row>
    <row r="34">
      <c r="A34" s="9" t="n"/>
      <c r="B34" s="9" t="n"/>
      <c r="C34" s="11">
        <f>IF(B34="","",IF(B34="공통","(공통)",IFERROR(INDEX(기능목록!$C$2:$C$300,MATCH(B34,기능목록!$A$2:$A$300,0)),"기능ID 확인")))</f>
        <v/>
      </c>
      <c r="D34" s="11">
        <f>IF(B34="","",IF(B34="공통","전체",IFERROR(INDEX(기능목록!$B$2:$B$300,MATCH(B34,기능목록!$A$2:$A$300,0)),"")))</f>
        <v/>
      </c>
      <c r="E34" s="9" t="n"/>
      <c r="F34" s="9" t="n"/>
      <c r="G34" s="9" t="n"/>
      <c r="H34" s="10" t="n"/>
      <c r="I34" s="9" t="n"/>
      <c r="J34" s="9" t="n"/>
      <c r="K34" s="10" t="n"/>
      <c r="L34" s="9" t="n"/>
    </row>
    <row r="35">
      <c r="A35" s="9" t="n"/>
      <c r="B35" s="9" t="n"/>
      <c r="C35" s="11">
        <f>IF(B35="","",IF(B35="공통","(공통)",IFERROR(INDEX(기능목록!$C$2:$C$300,MATCH(B35,기능목록!$A$2:$A$300,0)),"기능ID 확인")))</f>
        <v/>
      </c>
      <c r="D35" s="11">
        <f>IF(B35="","",IF(B35="공통","전체",IFERROR(INDEX(기능목록!$B$2:$B$300,MATCH(B35,기능목록!$A$2:$A$300,0)),"")))</f>
        <v/>
      </c>
      <c r="E35" s="9" t="n"/>
      <c r="F35" s="9" t="n"/>
      <c r="G35" s="9" t="n"/>
      <c r="H35" s="10" t="n"/>
      <c r="I35" s="9" t="n"/>
      <c r="J35" s="9" t="n"/>
      <c r="K35" s="10" t="n"/>
      <c r="L35" s="9" t="n"/>
    </row>
    <row r="36">
      <c r="A36" s="9" t="n"/>
      <c r="B36" s="9" t="n"/>
      <c r="C36" s="11">
        <f>IF(B36="","",IF(B36="공통","(공통)",IFERROR(INDEX(기능목록!$C$2:$C$300,MATCH(B36,기능목록!$A$2:$A$300,0)),"기능ID 확인")))</f>
        <v/>
      </c>
      <c r="D36" s="11">
        <f>IF(B36="","",IF(B36="공통","전체",IFERROR(INDEX(기능목록!$B$2:$B$300,MATCH(B36,기능목록!$A$2:$A$300,0)),"")))</f>
        <v/>
      </c>
      <c r="E36" s="9" t="n"/>
      <c r="F36" s="9" t="n"/>
      <c r="G36" s="9" t="n"/>
      <c r="H36" s="10" t="n"/>
      <c r="I36" s="9" t="n"/>
      <c r="J36" s="9" t="n"/>
      <c r="K36" s="10" t="n"/>
      <c r="L36" s="9" t="n"/>
    </row>
    <row r="37">
      <c r="A37" s="9" t="n"/>
      <c r="B37" s="9" t="n"/>
      <c r="C37" s="11">
        <f>IF(B37="","",IF(B37="공통","(공통)",IFERROR(INDEX(기능목록!$C$2:$C$300,MATCH(B37,기능목록!$A$2:$A$300,0)),"기능ID 확인")))</f>
        <v/>
      </c>
      <c r="D37" s="11">
        <f>IF(B37="","",IF(B37="공통","전체",IFERROR(INDEX(기능목록!$B$2:$B$300,MATCH(B37,기능목록!$A$2:$A$300,0)),"")))</f>
        <v/>
      </c>
      <c r="E37" s="9" t="n"/>
      <c r="F37" s="9" t="n"/>
      <c r="G37" s="9" t="n"/>
      <c r="H37" s="10" t="n"/>
      <c r="I37" s="9" t="n"/>
      <c r="J37" s="9" t="n"/>
      <c r="K37" s="10" t="n"/>
      <c r="L37" s="9" t="n"/>
    </row>
    <row r="38">
      <c r="A38" s="9" t="n"/>
      <c r="B38" s="9" t="n"/>
      <c r="C38" s="11">
        <f>IF(B38="","",IF(B38="공통","(공통)",IFERROR(INDEX(기능목록!$C$2:$C$300,MATCH(B38,기능목록!$A$2:$A$300,0)),"기능ID 확인")))</f>
        <v/>
      </c>
      <c r="D38" s="11">
        <f>IF(B38="","",IF(B38="공통","전체",IFERROR(INDEX(기능목록!$B$2:$B$300,MATCH(B38,기능목록!$A$2:$A$300,0)),"")))</f>
        <v/>
      </c>
      <c r="E38" s="9" t="n"/>
      <c r="F38" s="9" t="n"/>
      <c r="G38" s="9" t="n"/>
      <c r="H38" s="10" t="n"/>
      <c r="I38" s="9" t="n"/>
      <c r="J38" s="9" t="n"/>
      <c r="K38" s="10" t="n"/>
      <c r="L38" s="9" t="n"/>
    </row>
    <row r="39">
      <c r="A39" s="9" t="n"/>
      <c r="B39" s="9" t="n"/>
      <c r="C39" s="11">
        <f>IF(B39="","",IF(B39="공통","(공통)",IFERROR(INDEX(기능목록!$C$2:$C$300,MATCH(B39,기능목록!$A$2:$A$300,0)),"기능ID 확인")))</f>
        <v/>
      </c>
      <c r="D39" s="11">
        <f>IF(B39="","",IF(B39="공통","전체",IFERROR(INDEX(기능목록!$B$2:$B$300,MATCH(B39,기능목록!$A$2:$A$300,0)),"")))</f>
        <v/>
      </c>
      <c r="E39" s="9" t="n"/>
      <c r="F39" s="9" t="n"/>
      <c r="G39" s="9" t="n"/>
      <c r="H39" s="10" t="n"/>
      <c r="I39" s="9" t="n"/>
      <c r="J39" s="9" t="n"/>
      <c r="K39" s="10" t="n"/>
      <c r="L39" s="9" t="n"/>
    </row>
    <row r="40">
      <c r="A40" s="9" t="n"/>
      <c r="B40" s="9" t="n"/>
      <c r="C40" s="11">
        <f>IF(B40="","",IF(B40="공통","(공통)",IFERROR(INDEX(기능목록!$C$2:$C$300,MATCH(B40,기능목록!$A$2:$A$300,0)),"기능ID 확인")))</f>
        <v/>
      </c>
      <c r="D40" s="11">
        <f>IF(B40="","",IF(B40="공통","전체",IFERROR(INDEX(기능목록!$B$2:$B$300,MATCH(B40,기능목록!$A$2:$A$300,0)),"")))</f>
        <v/>
      </c>
      <c r="E40" s="9" t="n"/>
      <c r="F40" s="9" t="n"/>
      <c r="G40" s="9" t="n"/>
      <c r="H40" s="10" t="n"/>
      <c r="I40" s="9" t="n"/>
      <c r="J40" s="9" t="n"/>
      <c r="K40" s="10" t="n"/>
      <c r="L40" s="9" t="n"/>
    </row>
    <row r="41">
      <c r="A41" s="9" t="n"/>
      <c r="B41" s="9" t="n"/>
      <c r="C41" s="11">
        <f>IF(B41="","",IF(B41="공통","(공통)",IFERROR(INDEX(기능목록!$C$2:$C$300,MATCH(B41,기능목록!$A$2:$A$300,0)),"기능ID 확인")))</f>
        <v/>
      </c>
      <c r="D41" s="11">
        <f>IF(B41="","",IF(B41="공통","전체",IFERROR(INDEX(기능목록!$B$2:$B$300,MATCH(B41,기능목록!$A$2:$A$300,0)),"")))</f>
        <v/>
      </c>
      <c r="E41" s="9" t="n"/>
      <c r="F41" s="9" t="n"/>
      <c r="G41" s="9" t="n"/>
      <c r="H41" s="10" t="n"/>
      <c r="I41" s="9" t="n"/>
      <c r="J41" s="9" t="n"/>
      <c r="K41" s="10" t="n"/>
      <c r="L41" s="9" t="n"/>
    </row>
    <row r="42">
      <c r="A42" s="9" t="n"/>
      <c r="B42" s="9" t="n"/>
      <c r="C42" s="11">
        <f>IF(B42="","",IF(B42="공통","(공통)",IFERROR(INDEX(기능목록!$C$2:$C$300,MATCH(B42,기능목록!$A$2:$A$300,0)),"기능ID 확인")))</f>
        <v/>
      </c>
      <c r="D42" s="11">
        <f>IF(B42="","",IF(B42="공통","전체",IFERROR(INDEX(기능목록!$B$2:$B$300,MATCH(B42,기능목록!$A$2:$A$300,0)),"")))</f>
        <v/>
      </c>
      <c r="E42" s="9" t="n"/>
      <c r="F42" s="9" t="n"/>
      <c r="G42" s="9" t="n"/>
      <c r="H42" s="10" t="n"/>
      <c r="I42" s="9" t="n"/>
      <c r="J42" s="9" t="n"/>
      <c r="K42" s="10" t="n"/>
      <c r="L42" s="9" t="n"/>
    </row>
    <row r="43">
      <c r="A43" s="9" t="n"/>
      <c r="B43" s="9" t="n"/>
      <c r="C43" s="11">
        <f>IF(B43="","",IF(B43="공통","(공통)",IFERROR(INDEX(기능목록!$C$2:$C$300,MATCH(B43,기능목록!$A$2:$A$300,0)),"기능ID 확인")))</f>
        <v/>
      </c>
      <c r="D43" s="11">
        <f>IF(B43="","",IF(B43="공통","전체",IFERROR(INDEX(기능목록!$B$2:$B$300,MATCH(B43,기능목록!$A$2:$A$300,0)),"")))</f>
        <v/>
      </c>
      <c r="E43" s="9" t="n"/>
      <c r="F43" s="9" t="n"/>
      <c r="G43" s="9" t="n"/>
      <c r="H43" s="10" t="n"/>
      <c r="I43" s="9" t="n"/>
      <c r="J43" s="9" t="n"/>
      <c r="K43" s="10" t="n"/>
      <c r="L43" s="9" t="n"/>
    </row>
    <row r="44">
      <c r="A44" s="9" t="n"/>
      <c r="B44" s="9" t="n"/>
      <c r="C44" s="11">
        <f>IF(B44="","",IF(B44="공통","(공통)",IFERROR(INDEX(기능목록!$C$2:$C$300,MATCH(B44,기능목록!$A$2:$A$300,0)),"기능ID 확인")))</f>
        <v/>
      </c>
      <c r="D44" s="11">
        <f>IF(B44="","",IF(B44="공통","전체",IFERROR(INDEX(기능목록!$B$2:$B$300,MATCH(B44,기능목록!$A$2:$A$300,0)),"")))</f>
        <v/>
      </c>
      <c r="E44" s="9" t="n"/>
      <c r="F44" s="9" t="n"/>
      <c r="G44" s="9" t="n"/>
      <c r="H44" s="10" t="n"/>
      <c r="I44" s="9" t="n"/>
      <c r="J44" s="9" t="n"/>
      <c r="K44" s="10" t="n"/>
      <c r="L44" s="9" t="n"/>
    </row>
    <row r="45">
      <c r="A45" s="9" t="n"/>
      <c r="B45" s="9" t="n"/>
      <c r="C45" s="11">
        <f>IF(B45="","",IF(B45="공통","(공통)",IFERROR(INDEX(기능목록!$C$2:$C$300,MATCH(B45,기능목록!$A$2:$A$300,0)),"기능ID 확인")))</f>
        <v/>
      </c>
      <c r="D45" s="11">
        <f>IF(B45="","",IF(B45="공통","전체",IFERROR(INDEX(기능목록!$B$2:$B$300,MATCH(B45,기능목록!$A$2:$A$300,0)),"")))</f>
        <v/>
      </c>
      <c r="E45" s="9" t="n"/>
      <c r="F45" s="9" t="n"/>
      <c r="G45" s="9" t="n"/>
      <c r="H45" s="10" t="n"/>
      <c r="I45" s="9" t="n"/>
      <c r="J45" s="9" t="n"/>
      <c r="K45" s="10" t="n"/>
      <c r="L45" s="9" t="n"/>
    </row>
    <row r="46">
      <c r="A46" s="9" t="n"/>
      <c r="B46" s="9" t="n"/>
      <c r="C46" s="11">
        <f>IF(B46="","",IF(B46="공통","(공통)",IFERROR(INDEX(기능목록!$C$2:$C$300,MATCH(B46,기능목록!$A$2:$A$300,0)),"기능ID 확인")))</f>
        <v/>
      </c>
      <c r="D46" s="11">
        <f>IF(B46="","",IF(B46="공통","전체",IFERROR(INDEX(기능목록!$B$2:$B$300,MATCH(B46,기능목록!$A$2:$A$300,0)),"")))</f>
        <v/>
      </c>
      <c r="E46" s="9" t="n"/>
      <c r="F46" s="9" t="n"/>
      <c r="G46" s="9" t="n"/>
      <c r="H46" s="10" t="n"/>
      <c r="I46" s="9" t="n"/>
      <c r="J46" s="9" t="n"/>
      <c r="K46" s="10" t="n"/>
      <c r="L46" s="9" t="n"/>
    </row>
    <row r="47">
      <c r="A47" s="9" t="n"/>
      <c r="B47" s="9" t="n"/>
      <c r="C47" s="11">
        <f>IF(B47="","",IF(B47="공통","(공통)",IFERROR(INDEX(기능목록!$C$2:$C$300,MATCH(B47,기능목록!$A$2:$A$300,0)),"기능ID 확인")))</f>
        <v/>
      </c>
      <c r="D47" s="11">
        <f>IF(B47="","",IF(B47="공통","전체",IFERROR(INDEX(기능목록!$B$2:$B$300,MATCH(B47,기능목록!$A$2:$A$300,0)),"")))</f>
        <v/>
      </c>
      <c r="E47" s="9" t="n"/>
      <c r="F47" s="9" t="n"/>
      <c r="G47" s="9" t="n"/>
      <c r="H47" s="10" t="n"/>
      <c r="I47" s="9" t="n"/>
      <c r="J47" s="9" t="n"/>
      <c r="K47" s="10" t="n"/>
      <c r="L47" s="9" t="n"/>
    </row>
    <row r="48">
      <c r="A48" s="9" t="n"/>
      <c r="B48" s="9" t="n"/>
      <c r="C48" s="11">
        <f>IF(B48="","",IF(B48="공통","(공통)",IFERROR(INDEX(기능목록!$C$2:$C$300,MATCH(B48,기능목록!$A$2:$A$300,0)),"기능ID 확인")))</f>
        <v/>
      </c>
      <c r="D48" s="11">
        <f>IF(B48="","",IF(B48="공통","전체",IFERROR(INDEX(기능목록!$B$2:$B$300,MATCH(B48,기능목록!$A$2:$A$300,0)),"")))</f>
        <v/>
      </c>
      <c r="E48" s="9" t="n"/>
      <c r="F48" s="9" t="n"/>
      <c r="G48" s="9" t="n"/>
      <c r="H48" s="10" t="n"/>
      <c r="I48" s="9" t="n"/>
      <c r="J48" s="9" t="n"/>
      <c r="K48" s="10" t="n"/>
      <c r="L48" s="9" t="n"/>
    </row>
    <row r="49">
      <c r="A49" s="9" t="n"/>
      <c r="B49" s="9" t="n"/>
      <c r="C49" s="11">
        <f>IF(B49="","",IF(B49="공통","(공통)",IFERROR(INDEX(기능목록!$C$2:$C$300,MATCH(B49,기능목록!$A$2:$A$300,0)),"기능ID 확인")))</f>
        <v/>
      </c>
      <c r="D49" s="11">
        <f>IF(B49="","",IF(B49="공통","전체",IFERROR(INDEX(기능목록!$B$2:$B$300,MATCH(B49,기능목록!$A$2:$A$300,0)),"")))</f>
        <v/>
      </c>
      <c r="E49" s="9" t="n"/>
      <c r="F49" s="9" t="n"/>
      <c r="G49" s="9" t="n"/>
      <c r="H49" s="10" t="n"/>
      <c r="I49" s="9" t="n"/>
      <c r="J49" s="9" t="n"/>
      <c r="K49" s="10" t="n"/>
      <c r="L49" s="9" t="n"/>
    </row>
    <row r="50">
      <c r="A50" s="9" t="n"/>
      <c r="B50" s="9" t="n"/>
      <c r="C50" s="11">
        <f>IF(B50="","",IF(B50="공통","(공통)",IFERROR(INDEX(기능목록!$C$2:$C$300,MATCH(B50,기능목록!$A$2:$A$300,0)),"기능ID 확인")))</f>
        <v/>
      </c>
      <c r="D50" s="11">
        <f>IF(B50="","",IF(B50="공통","전체",IFERROR(INDEX(기능목록!$B$2:$B$300,MATCH(B50,기능목록!$A$2:$A$300,0)),"")))</f>
        <v/>
      </c>
      <c r="E50" s="9" t="n"/>
      <c r="F50" s="9" t="n"/>
      <c r="G50" s="9" t="n"/>
      <c r="H50" s="10" t="n"/>
      <c r="I50" s="9" t="n"/>
      <c r="J50" s="9" t="n"/>
      <c r="K50" s="10" t="n"/>
      <c r="L50" s="9" t="n"/>
    </row>
    <row r="51">
      <c r="A51" s="9" t="n"/>
      <c r="B51" s="9" t="n"/>
      <c r="C51" s="11">
        <f>IF(B51="","",IF(B51="공통","(공통)",IFERROR(INDEX(기능목록!$C$2:$C$300,MATCH(B51,기능목록!$A$2:$A$300,0)),"기능ID 확인")))</f>
        <v/>
      </c>
      <c r="D51" s="11">
        <f>IF(B51="","",IF(B51="공통","전체",IFERROR(INDEX(기능목록!$B$2:$B$300,MATCH(B51,기능목록!$A$2:$A$300,0)),"")))</f>
        <v/>
      </c>
      <c r="E51" s="9" t="n"/>
      <c r="F51" s="9" t="n"/>
      <c r="G51" s="9" t="n"/>
      <c r="H51" s="10" t="n"/>
      <c r="I51" s="9" t="n"/>
      <c r="J51" s="9" t="n"/>
      <c r="K51" s="10" t="n"/>
      <c r="L51" s="9" t="n"/>
    </row>
    <row r="52">
      <c r="A52" s="9" t="n"/>
      <c r="B52" s="9" t="n"/>
      <c r="C52" s="11">
        <f>IF(B52="","",IF(B52="공통","(공통)",IFERROR(INDEX(기능목록!$C$2:$C$300,MATCH(B52,기능목록!$A$2:$A$300,0)),"기능ID 확인")))</f>
        <v/>
      </c>
      <c r="D52" s="11">
        <f>IF(B52="","",IF(B52="공통","전체",IFERROR(INDEX(기능목록!$B$2:$B$300,MATCH(B52,기능목록!$A$2:$A$300,0)),"")))</f>
        <v/>
      </c>
      <c r="E52" s="9" t="n"/>
      <c r="F52" s="9" t="n"/>
      <c r="G52" s="9" t="n"/>
      <c r="H52" s="10" t="n"/>
      <c r="I52" s="9" t="n"/>
      <c r="J52" s="9" t="n"/>
      <c r="K52" s="10" t="n"/>
      <c r="L52" s="9" t="n"/>
    </row>
    <row r="53">
      <c r="A53" s="9" t="n"/>
      <c r="B53" s="9" t="n"/>
      <c r="C53" s="11">
        <f>IF(B53="","",IF(B53="공통","(공통)",IFERROR(INDEX(기능목록!$C$2:$C$300,MATCH(B53,기능목록!$A$2:$A$300,0)),"기능ID 확인")))</f>
        <v/>
      </c>
      <c r="D53" s="11">
        <f>IF(B53="","",IF(B53="공통","전체",IFERROR(INDEX(기능목록!$B$2:$B$300,MATCH(B53,기능목록!$A$2:$A$300,0)),"")))</f>
        <v/>
      </c>
      <c r="E53" s="9" t="n"/>
      <c r="F53" s="9" t="n"/>
      <c r="G53" s="9" t="n"/>
      <c r="H53" s="10" t="n"/>
      <c r="I53" s="9" t="n"/>
      <c r="J53" s="9" t="n"/>
      <c r="K53" s="10" t="n"/>
      <c r="L53" s="9" t="n"/>
    </row>
    <row r="54">
      <c r="A54" s="9" t="n"/>
      <c r="B54" s="9" t="n"/>
      <c r="C54" s="11">
        <f>IF(B54="","",IF(B54="공통","(공통)",IFERROR(INDEX(기능목록!$C$2:$C$300,MATCH(B54,기능목록!$A$2:$A$300,0)),"기능ID 확인")))</f>
        <v/>
      </c>
      <c r="D54" s="11">
        <f>IF(B54="","",IF(B54="공통","전체",IFERROR(INDEX(기능목록!$B$2:$B$300,MATCH(B54,기능목록!$A$2:$A$300,0)),"")))</f>
        <v/>
      </c>
      <c r="E54" s="9" t="n"/>
      <c r="F54" s="9" t="n"/>
      <c r="G54" s="9" t="n"/>
      <c r="H54" s="10" t="n"/>
      <c r="I54" s="9" t="n"/>
      <c r="J54" s="9" t="n"/>
      <c r="K54" s="10" t="n"/>
      <c r="L54" s="9" t="n"/>
    </row>
    <row r="55">
      <c r="A55" s="9" t="n"/>
      <c r="B55" s="9" t="n"/>
      <c r="C55" s="11">
        <f>IF(B55="","",IF(B55="공통","(공통)",IFERROR(INDEX(기능목록!$C$2:$C$300,MATCH(B55,기능목록!$A$2:$A$300,0)),"기능ID 확인")))</f>
        <v/>
      </c>
      <c r="D55" s="11">
        <f>IF(B55="","",IF(B55="공통","전체",IFERROR(INDEX(기능목록!$B$2:$B$300,MATCH(B55,기능목록!$A$2:$A$300,0)),"")))</f>
        <v/>
      </c>
      <c r="E55" s="9" t="n"/>
      <c r="F55" s="9" t="n"/>
      <c r="G55" s="9" t="n"/>
      <c r="H55" s="10" t="n"/>
      <c r="I55" s="9" t="n"/>
      <c r="J55" s="9" t="n"/>
      <c r="K55" s="10" t="n"/>
      <c r="L55" s="9" t="n"/>
    </row>
    <row r="56">
      <c r="A56" s="9" t="n"/>
      <c r="B56" s="9" t="n"/>
      <c r="C56" s="11">
        <f>IF(B56="","",IF(B56="공통","(공통)",IFERROR(INDEX(기능목록!$C$2:$C$300,MATCH(B56,기능목록!$A$2:$A$300,0)),"기능ID 확인")))</f>
        <v/>
      </c>
      <c r="D56" s="11">
        <f>IF(B56="","",IF(B56="공통","전체",IFERROR(INDEX(기능목록!$B$2:$B$300,MATCH(B56,기능목록!$A$2:$A$300,0)),"")))</f>
        <v/>
      </c>
      <c r="E56" s="9" t="n"/>
      <c r="F56" s="9" t="n"/>
      <c r="G56" s="9" t="n"/>
      <c r="H56" s="10" t="n"/>
      <c r="I56" s="9" t="n"/>
      <c r="J56" s="9" t="n"/>
      <c r="K56" s="10" t="n"/>
      <c r="L56" s="9" t="n"/>
    </row>
    <row r="57">
      <c r="A57" s="9" t="n"/>
      <c r="B57" s="9" t="n"/>
      <c r="C57" s="11">
        <f>IF(B57="","",IF(B57="공통","(공통)",IFERROR(INDEX(기능목록!$C$2:$C$300,MATCH(B57,기능목록!$A$2:$A$300,0)),"기능ID 확인")))</f>
        <v/>
      </c>
      <c r="D57" s="11">
        <f>IF(B57="","",IF(B57="공통","전체",IFERROR(INDEX(기능목록!$B$2:$B$300,MATCH(B57,기능목록!$A$2:$A$300,0)),"")))</f>
        <v/>
      </c>
      <c r="E57" s="9" t="n"/>
      <c r="F57" s="9" t="n"/>
      <c r="G57" s="9" t="n"/>
      <c r="H57" s="10" t="n"/>
      <c r="I57" s="9" t="n"/>
      <c r="J57" s="9" t="n"/>
      <c r="K57" s="10" t="n"/>
      <c r="L57" s="9" t="n"/>
    </row>
    <row r="58">
      <c r="A58" s="9" t="n"/>
      <c r="B58" s="9" t="n"/>
      <c r="C58" s="11">
        <f>IF(B58="","",IF(B58="공통","(공통)",IFERROR(INDEX(기능목록!$C$2:$C$300,MATCH(B58,기능목록!$A$2:$A$300,0)),"기능ID 확인")))</f>
        <v/>
      </c>
      <c r="D58" s="11">
        <f>IF(B58="","",IF(B58="공통","전체",IFERROR(INDEX(기능목록!$B$2:$B$300,MATCH(B58,기능목록!$A$2:$A$300,0)),"")))</f>
        <v/>
      </c>
      <c r="E58" s="9" t="n"/>
      <c r="F58" s="9" t="n"/>
      <c r="G58" s="9" t="n"/>
      <c r="H58" s="10" t="n"/>
      <c r="I58" s="9" t="n"/>
      <c r="J58" s="9" t="n"/>
      <c r="K58" s="10" t="n"/>
      <c r="L58" s="9" t="n"/>
    </row>
    <row r="59">
      <c r="A59" s="9" t="n"/>
      <c r="B59" s="9" t="n"/>
      <c r="C59" s="11">
        <f>IF(B59="","",IF(B59="공통","(공통)",IFERROR(INDEX(기능목록!$C$2:$C$300,MATCH(B59,기능목록!$A$2:$A$300,0)),"기능ID 확인")))</f>
        <v/>
      </c>
      <c r="D59" s="11">
        <f>IF(B59="","",IF(B59="공통","전체",IFERROR(INDEX(기능목록!$B$2:$B$300,MATCH(B59,기능목록!$A$2:$A$300,0)),"")))</f>
        <v/>
      </c>
      <c r="E59" s="9" t="n"/>
      <c r="F59" s="9" t="n"/>
      <c r="G59" s="9" t="n"/>
      <c r="H59" s="10" t="n"/>
      <c r="I59" s="9" t="n"/>
      <c r="J59" s="9" t="n"/>
      <c r="K59" s="10" t="n"/>
      <c r="L59" s="9" t="n"/>
    </row>
    <row r="60">
      <c r="A60" s="9" t="n"/>
      <c r="B60" s="9" t="n"/>
      <c r="C60" s="11">
        <f>IF(B60="","",IF(B60="공통","(공통)",IFERROR(INDEX(기능목록!$C$2:$C$300,MATCH(B60,기능목록!$A$2:$A$300,0)),"기능ID 확인")))</f>
        <v/>
      </c>
      <c r="D60" s="11">
        <f>IF(B60="","",IF(B60="공통","전체",IFERROR(INDEX(기능목록!$B$2:$B$300,MATCH(B60,기능목록!$A$2:$A$300,0)),"")))</f>
        <v/>
      </c>
      <c r="E60" s="9" t="n"/>
      <c r="F60" s="9" t="n"/>
      <c r="G60" s="9" t="n"/>
      <c r="H60" s="10" t="n"/>
      <c r="I60" s="9" t="n"/>
      <c r="J60" s="9" t="n"/>
      <c r="K60" s="10" t="n"/>
      <c r="L60" s="9" t="n"/>
    </row>
  </sheetData>
  <autoFilter ref="A1:L60"/>
  <dataValidations count="3">
    <dataValidation sqref="F2:F60" showDropDown="0" showInputMessage="1" showErrorMessage="0" allowBlank="1" prompt="기능/비기능/제약" type="list">
      <formula1>"기능,비기능,제약"</formula1>
    </dataValidation>
    <dataValidation sqref="H2:H60" showDropDown="0" showInputMessage="1" showErrorMessage="0" allowBlank="1" prompt="필수/중요/선택/보류" type="list">
      <formula1>"필수,중요,선택,보류"</formula1>
    </dataValidation>
    <dataValidation sqref="J2:J60" showDropDown="0" showInputMessage="1" showErrorMessage="0" allowBlank="1" prompt="초안/검토중/합의/구현됨/검증됨" type="list">
      <formula1>"초안,검토중,합의,구현됨,검증됨"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6" customWidth="1" min="3" max="3"/>
    <col width="16" customWidth="1" min="4" max="4"/>
    <col width="38" customWidth="1" min="5" max="5"/>
    <col width="11" customWidth="1" min="6" max="6"/>
    <col width="48" customWidth="1" min="7" max="7"/>
    <col width="16" customWidth="1" min="8" max="8"/>
    <col width="10" customWidth="1" min="9" max="9"/>
    <col width="12" customWidth="1" min="10" max="10"/>
  </cols>
  <sheetData>
    <row r="1" ht="30" customHeight="1">
      <c r="A1" s="7" t="inlineStr">
        <is>
          <t>계약ID</t>
        </is>
      </c>
      <c r="B1" s="7" t="inlineStr">
        <is>
          <t>연동 대상</t>
        </is>
      </c>
      <c r="C1" s="7" t="inlineStr">
        <is>
          <t>상대</t>
        </is>
      </c>
      <c r="D1" s="7" t="inlineStr">
        <is>
          <t>방향</t>
        </is>
      </c>
      <c r="E1" s="7" t="inlineStr">
        <is>
          <t>주고받는 것</t>
        </is>
      </c>
      <c r="F1" s="7" t="inlineStr">
        <is>
          <t>현재 상태</t>
        </is>
      </c>
      <c r="G1" s="7" t="inlineStr">
        <is>
          <t>필요한 결정 / 자료</t>
        </is>
      </c>
      <c r="H1" s="7" t="inlineStr">
        <is>
          <t>관련 기능ID</t>
        </is>
      </c>
      <c r="I1" s="7" t="inlineStr">
        <is>
          <t>담당</t>
        </is>
      </c>
      <c r="J1" s="7" t="inlineStr">
        <is>
          <t>합의 기한</t>
        </is>
      </c>
    </row>
    <row r="2">
      <c r="A2" s="9" t="inlineStr">
        <is>
          <t>C1</t>
        </is>
      </c>
      <c r="B2" s="9" t="inlineStr">
        <is>
          <t>장소·프로그램 데이터</t>
        </is>
      </c>
      <c r="C2" s="9" t="inlineStr">
        <is>
          <t>기관</t>
        </is>
      </c>
      <c r="D2" s="9" t="inlineStr">
        <is>
          <t>기관 → 웹</t>
        </is>
      </c>
      <c r="E2" s="9" t="inlineStr">
        <is>
          <t>장소·층·안내 문구, 프로그램·회차 목록</t>
        </is>
      </c>
      <c r="F2" s="9" t="inlineStr">
        <is>
          <t>초안 있음</t>
        </is>
      </c>
      <c r="G2" s="9" t="inlineStr">
        <is>
          <t>웹의 JSON 양식(version 2)을 기관이 채울 수 있는지. 누가 언제 갱신하는지</t>
        </is>
      </c>
      <c r="H2" s="9" t="inlineStr">
        <is>
          <t>F12, F13</t>
        </is>
      </c>
      <c r="I2" s="10" t="n"/>
      <c r="J2" s="10" t="n"/>
    </row>
    <row r="3">
      <c r="A3" s="9" t="inlineStr">
        <is>
          <t>C2</t>
        </is>
      </c>
      <c r="B3" s="9" t="inlineStr">
        <is>
          <t>로봇 이동</t>
        </is>
      </c>
      <c r="C3" s="9" t="inlineStr">
        <is>
          <t>시뮬레이션팀</t>
        </is>
      </c>
      <c r="D3" s="9" t="inlineStr">
        <is>
          <t>웹 ↔ 로봇</t>
        </is>
      </c>
      <c r="E3" s="9" t="inlineStr">
        <is>
          <t>이동 요청(목적지), 상태(대기·이동 중·도착·실패), 현재 위치</t>
        </is>
      </c>
      <c r="F3" s="9" t="inlineStr">
        <is>
          <t>미정의</t>
        </is>
      </c>
      <c r="G3" s="9" t="inlineStr">
        <is>
          <t>요청·응답 형식, 상태 종류, 실패·취소 처리, 통신 방식</t>
        </is>
      </c>
      <c r="H3" s="9" t="inlineStr">
        <is>
          <t>F14, F15, F20</t>
        </is>
      </c>
      <c r="I3" s="10" t="n"/>
      <c r="J3" s="10" t="n"/>
    </row>
    <row r="4">
      <c r="A4" s="9" t="inlineStr">
        <is>
          <t>C3</t>
        </is>
      </c>
      <c r="B4" s="9" t="inlineStr">
        <is>
          <t>실내 지도·경로</t>
        </is>
      </c>
      <c r="C4" s="9" t="inlineStr">
        <is>
          <t>시뮬레이션팀</t>
        </is>
      </c>
      <c r="D4" s="9" t="inlineStr">
        <is>
          <t>시뮬레이션 → 웹</t>
        </is>
      </c>
      <c r="E4" s="9" t="inlineStr">
        <is>
          <t>층별 지도, 장소 좌표, 검증된 경로</t>
        </is>
      </c>
      <c r="F4" s="9" t="inlineStr">
        <is>
          <t>미정의</t>
        </is>
      </c>
      <c r="G4" s="9" t="inlineStr">
        <is>
          <t>지도 형식(이미지/좌표), 장소 ID 를 웹과 어떻게 맞출지</t>
        </is>
      </c>
      <c r="H4" s="9" t="inlineStr">
        <is>
          <t>F04</t>
        </is>
      </c>
      <c r="I4" s="10" t="n"/>
      <c r="J4" s="10" t="n"/>
    </row>
    <row r="5">
      <c r="A5" s="9" t="inlineStr">
        <is>
          <t>C4</t>
        </is>
      </c>
      <c r="B5" s="9" t="inlineStr">
        <is>
          <t>출결</t>
        </is>
      </c>
      <c r="C5" s="9" t="inlineStr">
        <is>
          <t>기관</t>
        </is>
      </c>
      <c r="D5" s="9" t="inlineStr">
        <is>
          <t>웹 → 기관</t>
        </is>
      </c>
      <c r="E5" s="9" t="inlineStr">
        <is>
          <t>회원 식별값, 회차, 출석 시각</t>
        </is>
      </c>
      <c r="F5" s="9" t="inlineStr">
        <is>
          <t>미정의</t>
        </is>
      </c>
      <c r="G5" s="9" t="inlineStr">
        <is>
          <t>회원 카드 바코드 형식, 출결 API 유무, 개인정보 처리 방식</t>
        </is>
      </c>
      <c r="H5" s="9" t="inlineStr">
        <is>
          <t>F05, F16, F21</t>
        </is>
      </c>
      <c r="I5" s="10" t="n"/>
      <c r="J5" s="10" t="n"/>
    </row>
    <row r="6">
      <c r="A6" s="9" t="inlineStr">
        <is>
          <t>C5</t>
        </is>
      </c>
      <c r="B6" s="9" t="inlineStr">
        <is>
          <t>안내문 인쇄</t>
        </is>
      </c>
      <c r="C6" s="9" t="inlineStr">
        <is>
          <t>기관 (프린터 구매)</t>
        </is>
      </c>
      <c r="D6" s="9" t="inlineStr">
        <is>
          <t>웹 → 프린터</t>
        </is>
      </c>
      <c r="E6" s="9" t="inlineStr">
        <is>
          <t>안내문 인쇄</t>
        </is>
      </c>
      <c r="F6" s="9" t="inlineStr">
        <is>
          <t>기종 미정</t>
        </is>
      </c>
      <c r="G6" s="9" t="inlineStr">
        <is>
          <t>프린터 기종·용지 폭, 브라우저 인쇄로 충분한지</t>
        </is>
      </c>
      <c r="H6" s="9" t="inlineStr">
        <is>
          <t>F06</t>
        </is>
      </c>
      <c r="I6" s="10" t="n"/>
      <c r="J6" s="10" t="n"/>
    </row>
    <row r="7">
      <c r="A7" s="9" t="inlineStr">
        <is>
          <t>C6</t>
        </is>
      </c>
      <c r="B7" s="9" t="inlineStr">
        <is>
          <t>직원 호출</t>
        </is>
      </c>
      <c r="C7" s="9" t="inlineStr">
        <is>
          <t>기관 · 팀</t>
        </is>
      </c>
      <c r="D7" s="9" t="inlineStr">
        <is>
          <t>웹 → 직원</t>
        </is>
      </c>
      <c r="E7" s="9" t="inlineStr">
        <is>
          <t>호출 위치, 시각</t>
        </is>
      </c>
      <c r="F7" s="9" t="inlineStr">
        <is>
          <t>미정의</t>
        </is>
      </c>
      <c r="G7" s="9" t="inlineStr">
        <is>
          <t>호출을 어디로 보낼지 (직원 PC 알림 / 로봇 / 전화 등)</t>
        </is>
      </c>
      <c r="H7" s="9" t="inlineStr">
        <is>
          <t>F07</t>
        </is>
      </c>
      <c r="I7" s="10" t="n"/>
      <c r="J7" s="10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10" t="n"/>
      <c r="J8" s="10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10" t="n"/>
      <c r="J9" s="10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10" t="n"/>
      <c r="J10" s="10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10" t="n"/>
      <c r="J11" s="10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10" t="n"/>
      <c r="J12" s="10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10" t="n"/>
      <c r="J13" s="10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10" t="n"/>
      <c r="J14" s="10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10" t="n"/>
      <c r="J15" s="10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10" t="n"/>
      <c r="J16" s="10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10" t="n"/>
      <c r="J17" s="10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10" t="n"/>
      <c r="J18" s="10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10" t="n"/>
      <c r="J19" s="10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10" t="n"/>
      <c r="J20" s="10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10" t="n"/>
      <c r="J21" s="10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10" t="n"/>
      <c r="J22" s="10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10" t="n"/>
      <c r="J23" s="10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10" t="n"/>
      <c r="J24" s="10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10" t="n"/>
      <c r="J25" s="10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10" t="n"/>
      <c r="J26" s="10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10" t="n"/>
      <c r="J27" s="10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10" t="n"/>
      <c r="J28" s="10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10" t="n"/>
      <c r="J29" s="10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10" t="n"/>
      <c r="J30" s="10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10" t="n"/>
      <c r="J31" s="10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10" t="n"/>
      <c r="J32" s="10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10" t="n"/>
      <c r="J33" s="10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10" t="n"/>
      <c r="J34" s="10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10" t="n"/>
      <c r="J35" s="10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10" t="n"/>
      <c r="J36" s="10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10" t="n"/>
      <c r="J37" s="10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10" t="n"/>
      <c r="J38" s="10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10" t="n"/>
      <c r="J39" s="10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10" t="n"/>
      <c r="J40" s="10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10" t="n"/>
      <c r="J41" s="10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10" t="n"/>
      <c r="J42" s="10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10" t="n"/>
      <c r="J43" s="10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10" t="n"/>
      <c r="J44" s="10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10" t="n"/>
      <c r="J45" s="10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</row>
  </sheetData>
  <autoFilter ref="A1:J60"/>
  <dataValidations count="1">
    <dataValidation sqref="F2:F60" showDropDown="0" showInputMessage="1" showErrorMessage="0" allowBlank="1" prompt="계약 상태" type="list">
      <formula1>"미정의,초안 있음,기종 미정,검토중,합의"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</cols>
  <sheetData>
    <row r="1">
      <c r="A1" s="12" t="inlineStr">
        <is>
          <t>우선순위 요약 (자동 계산)</t>
        </is>
      </c>
    </row>
    <row r="3">
      <c r="A3" s="13" t="inlineStr">
        <is>
          <t>구분</t>
        </is>
      </c>
      <c r="B3" s="13" t="inlineStr">
        <is>
          <t>필수</t>
        </is>
      </c>
      <c r="C3" s="13" t="inlineStr">
        <is>
          <t>중요</t>
        </is>
      </c>
      <c r="D3" s="13" t="inlineStr">
        <is>
          <t>선택</t>
        </is>
      </c>
      <c r="E3" s="13" t="inlineStr">
        <is>
          <t>보류</t>
        </is>
      </c>
      <c r="F3" s="13" t="inlineStr">
        <is>
          <t>미정</t>
        </is>
      </c>
      <c r="G3" s="13" t="inlineStr">
        <is>
          <t>합계</t>
        </is>
      </c>
    </row>
    <row r="4">
      <c r="A4" s="14" t="inlineStr">
        <is>
          <t>기능 — U1 이용자</t>
        </is>
      </c>
      <c r="B4" s="14">
        <f>COUNTIFS(기능목록!$B$2:$B$300,"U1",기능목록!$E$2:$E$300,"필수")</f>
        <v/>
      </c>
      <c r="C4" s="14">
        <f>COUNTIFS(기능목록!$B$2:$B$300,"U1",기능목록!$E$2:$E$300,"중요")</f>
        <v/>
      </c>
      <c r="D4" s="14">
        <f>COUNTIFS(기능목록!$B$2:$B$300,"U1",기능목록!$E$2:$E$300,"선택")</f>
        <v/>
      </c>
      <c r="E4" s="14">
        <f>COUNTIFS(기능목록!$B$2:$B$300,"U1",기능목록!$E$2:$E$300,"보류")</f>
        <v/>
      </c>
      <c r="F4" s="14">
        <f>G4-SUM(B4:E4)</f>
        <v/>
      </c>
      <c r="G4" s="14">
        <f>COUNTIFS(기능목록!$B$2:$B$300,"U1",기능목록!$A$2:$A$300,"F*")</f>
        <v/>
      </c>
    </row>
    <row r="5">
      <c r="A5" s="14" t="inlineStr">
        <is>
          <t>기능 — U2 직원</t>
        </is>
      </c>
      <c r="B5" s="14">
        <f>COUNTIFS(기능목록!$B$2:$B$300,"U2",기능목록!$E$2:$E$300,"필수")</f>
        <v/>
      </c>
      <c r="C5" s="14">
        <f>COUNTIFS(기능목록!$B$2:$B$300,"U2",기능목록!$E$2:$E$300,"중요")</f>
        <v/>
      </c>
      <c r="D5" s="14">
        <f>COUNTIFS(기능목록!$B$2:$B$300,"U2",기능목록!$E$2:$E$300,"선택")</f>
        <v/>
      </c>
      <c r="E5" s="14">
        <f>COUNTIFS(기능목록!$B$2:$B$300,"U2",기능목록!$E$2:$E$300,"보류")</f>
        <v/>
      </c>
      <c r="F5" s="14">
        <f>G5-SUM(B5:E5)</f>
        <v/>
      </c>
      <c r="G5" s="14">
        <f>COUNTIFS(기능목록!$B$2:$B$300,"U2",기능목록!$A$2:$A$300,"F*")</f>
        <v/>
      </c>
    </row>
    <row r="6">
      <c r="A6" s="14" t="inlineStr">
        <is>
          <t>기능 — U3 운영 담당</t>
        </is>
      </c>
      <c r="B6" s="14">
        <f>COUNTIFS(기능목록!$B$2:$B$300,"U3",기능목록!$E$2:$E$300,"필수")</f>
        <v/>
      </c>
      <c r="C6" s="14">
        <f>COUNTIFS(기능목록!$B$2:$B$300,"U3",기능목록!$E$2:$E$300,"중요")</f>
        <v/>
      </c>
      <c r="D6" s="14">
        <f>COUNTIFS(기능목록!$B$2:$B$300,"U3",기능목록!$E$2:$E$300,"선택")</f>
        <v/>
      </c>
      <c r="E6" s="14">
        <f>COUNTIFS(기능목록!$B$2:$B$300,"U3",기능목록!$E$2:$E$300,"보류")</f>
        <v/>
      </c>
      <c r="F6" s="14">
        <f>G6-SUM(B6:E6)</f>
        <v/>
      </c>
      <c r="G6" s="14">
        <f>COUNTIFS(기능목록!$B$2:$B$300,"U3",기능목록!$A$2:$A$300,"F*")</f>
        <v/>
      </c>
    </row>
    <row r="7">
      <c r="A7" s="14" t="inlineStr">
        <is>
          <t>기능 — S1 로봇</t>
        </is>
      </c>
      <c r="B7" s="14">
        <f>COUNTIFS(기능목록!$B$2:$B$300,"S1",기능목록!$E$2:$E$300,"필수")</f>
        <v/>
      </c>
      <c r="C7" s="14">
        <f>COUNTIFS(기능목록!$B$2:$B$300,"S1",기능목록!$E$2:$E$300,"중요")</f>
        <v/>
      </c>
      <c r="D7" s="14">
        <f>COUNTIFS(기능목록!$B$2:$B$300,"S1",기능목록!$E$2:$E$300,"선택")</f>
        <v/>
      </c>
      <c r="E7" s="14">
        <f>COUNTIFS(기능목록!$B$2:$B$300,"S1",기능목록!$E$2:$E$300,"보류")</f>
        <v/>
      </c>
      <c r="F7" s="14">
        <f>G7-SUM(B7:E7)</f>
        <v/>
      </c>
      <c r="G7" s="14">
        <f>COUNTIFS(기능목록!$B$2:$B$300,"S1",기능목록!$A$2:$A$300,"F*")</f>
        <v/>
      </c>
    </row>
    <row r="8">
      <c r="A8" s="14" t="inlineStr">
        <is>
          <t>기능 — S2 기관</t>
        </is>
      </c>
      <c r="B8" s="14">
        <f>COUNTIFS(기능목록!$B$2:$B$300,"S2",기능목록!$E$2:$E$300,"필수")</f>
        <v/>
      </c>
      <c r="C8" s="14">
        <f>COUNTIFS(기능목록!$B$2:$B$300,"S2",기능목록!$E$2:$E$300,"중요")</f>
        <v/>
      </c>
      <c r="D8" s="14">
        <f>COUNTIFS(기능목록!$B$2:$B$300,"S2",기능목록!$E$2:$E$300,"선택")</f>
        <v/>
      </c>
      <c r="E8" s="14">
        <f>COUNTIFS(기능목록!$B$2:$B$300,"S2",기능목록!$E$2:$E$300,"보류")</f>
        <v/>
      </c>
      <c r="F8" s="14">
        <f>G8-SUM(B8:E8)</f>
        <v/>
      </c>
      <c r="G8" s="14">
        <f>COUNTIFS(기능목록!$B$2:$B$300,"S2",기능목록!$A$2:$A$300,"F*")</f>
        <v/>
      </c>
    </row>
    <row r="9">
      <c r="A9" s="15" t="inlineStr">
        <is>
          <t>기능 합계</t>
        </is>
      </c>
      <c r="B9" s="15">
        <f>SUM(B4:B8)</f>
        <v/>
      </c>
      <c r="C9" s="15">
        <f>SUM(C4:C8)</f>
        <v/>
      </c>
      <c r="D9" s="15">
        <f>SUM(D4:D8)</f>
        <v/>
      </c>
      <c r="E9" s="15">
        <f>SUM(E4:E8)</f>
        <v/>
      </c>
      <c r="F9" s="15">
        <f>SUM(F4:F8)</f>
        <v/>
      </c>
      <c r="G9" s="15">
        <f>SUM(G4:G8)</f>
        <v/>
      </c>
    </row>
    <row r="10"/>
    <row r="11">
      <c r="A11" s="15" t="inlineStr">
        <is>
          <t>요구사항 전체</t>
        </is>
      </c>
      <c r="B11" s="15">
        <f>COUNTIF(요구사항!$H$2:$H$300,"필수")</f>
        <v/>
      </c>
      <c r="C11" s="15">
        <f>COUNTIF(요구사항!$H$2:$H$300,"중요")</f>
        <v/>
      </c>
      <c r="D11" s="15">
        <f>COUNTIF(요구사항!$H$2:$H$300,"선택")</f>
        <v/>
      </c>
      <c r="E11" s="15">
        <f>COUNTIF(요구사항!$H$2:$H$300,"보류")</f>
        <v/>
      </c>
      <c r="F11" s="15">
        <f>G11-SUM(B11:E11)</f>
        <v/>
      </c>
      <c r="G11" s="15">
        <f>COUNTIF(요구사항!$A$2:$A$300,"R*")</f>
        <v/>
      </c>
    </row>
    <row r="12"/>
    <row r="13">
      <c r="A13" s="16" t="inlineStr">
        <is>
          <t>기능 현재 상태</t>
        </is>
      </c>
    </row>
    <row r="14">
      <c r="A14" s="16" t="inlineStr">
        <is>
          <t>구현됨</t>
        </is>
      </c>
      <c r="B14" s="16">
        <f>COUNTIF(기능목록!$F$2:$F$300,"구현됨")</f>
        <v/>
      </c>
    </row>
    <row r="15">
      <c r="A15" s="16" t="inlineStr">
        <is>
          <t>부분 구현</t>
        </is>
      </c>
      <c r="B15" s="16">
        <f>COUNTIF(기능목록!$F$2:$F$300,"부분 구현")</f>
        <v/>
      </c>
    </row>
    <row r="16">
      <c r="A16" s="16" t="inlineStr">
        <is>
          <t>미구현</t>
        </is>
      </c>
      <c r="B16" s="16">
        <f>COUNTIF(기능목록!$F$2:$F$300,"미구현")</f>
        <v/>
      </c>
    </row>
    <row r="17">
      <c r="A17" s="16" t="inlineStr">
        <is>
          <t>외부 대기</t>
        </is>
      </c>
      <c r="B17" s="16">
        <f>COUNTIF(기능목록!$F$2:$F$300,"외부 대기")</f>
        <v/>
      </c>
    </row>
    <row r="18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2026-09-29T10:06:31Z</dcterms:created>
  <dcterms:modified xsi:type="dcterms:W3CDTF">2026-09-29T10:06:32Z</dcterms:modified>
</cp:coreProperties>
</file>